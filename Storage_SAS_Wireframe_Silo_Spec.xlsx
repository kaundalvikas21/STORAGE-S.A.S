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 Read Me" sheetId="1" state="visible" r:id="rId3"/>
    <sheet name="01 Silo Map" sheetId="2" state="visible" r:id="rId4"/>
    <sheet name="02 Page Spec" sheetId="3" state="visible" r:id="rId5"/>
    <sheet name="03 Keyword Data" sheetId="4" state="visible" r:id="rId6"/>
    <sheet name="04 Current Rankings" sheetId="5" state="visible" r:id="rId7"/>
    <sheet name="05 Competitors" sheetId="6" state="visible" r:id="rId8"/>
    <sheet name="06 Build Phases" sheetId="7" state="visible" r:id="rId9"/>
    <sheet name="07 Open Item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<sst xmlns="http://schemas.openxmlformats.org/spreadsheetml/2006/main" count="1147" uniqueCount="713">
  <si>
    <t xml:space="preserve">STORAGE S.A.S — Website Silo Structure &amp; Wireframe Specification</t>
  </si>
  <si>
    <t xml:space="preserve">storagebogota.com  ·  Prepared by Fanatic Coders  ·  14 August 2026  ·  Version 1.0</t>
  </si>
  <si>
    <t xml:space="preserve">WHAT THIS DOCUMENT IS</t>
  </si>
  <si>
    <t xml:space="preserve">A complete information architecture for storagebogota.com: which pages should exist, what each one targets, what goes on it, and how the pages link to each other. It is the blueprint the content team writes from and the development team builds from.</t>
  </si>
  <si>
    <t xml:space="preserve">It is accompanied by a second file, 'Storage_SAS_Wireframe_Visual.html', which shows the annotated page layouts for each template referenced in tab '02 Page Spec'.</t>
  </si>
  <si>
    <t xml:space="preserve">HOW TO READ EACH TAB</t>
  </si>
  <si>
    <t xml:space="preserve">01 Silo Map — the site structure as a tree. Read this first.</t>
  </si>
  <si>
    <t xml:space="preserve">02 Page Spec — one row per page. The build list. Includes URL, target keyword, page title, H1, meta description, required content blocks, internal linking rules and structured data.</t>
  </si>
  <si>
    <t xml:space="preserve">03 Keyword Data — the search volume figures behind every target in tab 02, with the source and date they were pulled.</t>
  </si>
  <si>
    <t xml:space="preserve">04 Current Rankings — every keyword storagebogota.com already ranks for today. This is the existing asset the new structure must protect.</t>
  </si>
  <si>
    <t xml:space="preserve">05 Competitors — how the six named competitors have structured their own sites, and where the gaps are.</t>
  </si>
  <si>
    <t xml:space="preserve">06 Build Phases — the recommended order of construction across three phases.</t>
  </si>
  <si>
    <t xml:space="preserve">07 Open Items — information still required from Storage S.A.S. before certain pages can be written.</t>
  </si>
  <si>
    <t xml:space="preserve">COLOUR KEY</t>
  </si>
  <si>
    <t xml:space="preserve">Orange rows = Phase 1 (build first)   ·   Cream rows = Phase 2   ·   Green rows = Phase 3</t>
  </si>
  <si>
    <t xml:space="preserve">Yellow cells = a figure or decision still pending input from Storage S.A.S.</t>
  </si>
  <si>
    <t xml:space="preserve">IMPORTANT — HOW TO TREAT THE NUMBERS</t>
  </si>
  <si>
    <t xml:space="preserve">All search volumes in this document are third-party estimates from the Google Ads Keyword Planner data feed, retrieved 14 August 2026 for the Bogotá / Spanish market. They indicate relative demand, not guaranteed traffic. Google reports these as broad ranges and they move month to month.</t>
  </si>
  <si>
    <t xml:space="preserve">Nothing in this document should be read as a ranking guarantee. Search rankings depend on competitor behaviour, Google algorithm changes and factors outside anyone's control. What this structure does is make the site eligible to compete for terms it currently cannot reach at all, because no page exists to serve them.</t>
  </si>
  <si>
    <t xml:space="preserve">SIZE OF THE CHANGE</t>
  </si>
  <si>
    <t xml:space="preserve">storagebogota.com currently has 5 pages and ranks for 27 keywords in total. This specification defines 33 pages plus 6 launch blog articles. The competitors named in the discovery workbook operate between 30 and 60+ indexed pages.</t>
  </si>
  <si>
    <t xml:space="preserve">Silo Map</t>
  </si>
  <si>
    <t xml:space="preserve">Vertical structure. Indentation shows parent/child. Link flow rules in tab 02.</t>
  </si>
  <si>
    <t xml:space="preserve">Level</t>
  </si>
  <si>
    <t xml:space="preserve">Page</t>
  </si>
  <si>
    <t xml:space="preserve">URL</t>
  </si>
  <si>
    <t xml:space="preserve">Silo</t>
  </si>
  <si>
    <t xml:space="preserve">Role</t>
  </si>
  <si>
    <t xml:space="preserve">Phase</t>
  </si>
  <si>
    <t xml:space="preserve">HOME</t>
  </si>
  <si>
    <t xml:space="preserve">/</t>
  </si>
  <si>
    <t xml:space="preserve">—</t>
  </si>
  <si>
    <t xml:space="preserve">Brand + service overview. Distributes authority.</t>
  </si>
  <si>
    <t xml:space="preserve">1</t>
  </si>
  <si>
    <t xml:space="preserve">    BODEGAJE Y MINIBODEGAS EN BOGOTÁ</t>
  </si>
  <si>
    <t xml:space="preserve">/bodegaje-bogota/</t>
  </si>
  <si>
    <t xml:space="preserve">1 · Bodegaje</t>
  </si>
  <si>
    <t xml:space="preserve">MONEY SILO pillar. Receives the most internal links.</t>
  </si>
  <si>
    <t xml:space="preserve">        Minibodegas para hogar</t>
  </si>
  <si>
    <t xml:space="preserve">/minibodegas-para-hogar/</t>
  </si>
  <si>
    <t xml:space="preserve">1A · Segment</t>
  </si>
  <si>
    <t xml:space="preserve">Residential segment landing.</t>
  </si>
  <si>
    <t xml:space="preserve">        Minibodegas para empresas</t>
  </si>
  <si>
    <t xml:space="preserve">/minibodegas-para-empresas/</t>
  </si>
  <si>
    <t xml:space="preserve">Corporate segment landing.</t>
  </si>
  <si>
    <t xml:space="preserve">        Bodegas para e-commerce</t>
  </si>
  <si>
    <t xml:space="preserve">/bodegas-para-ecommerce/</t>
  </si>
  <si>
    <t xml:space="preserve">Untapped segment (workbook Sheet 7 Q6).</t>
  </si>
  <si>
    <t xml:space="preserve">3</t>
  </si>
  <si>
    <t xml:space="preserve">        Almacenamiento de archivo y documentos</t>
  </si>
  <si>
    <t xml:space="preserve">/almacenamiento-de-archivo-y-documentos/</t>
  </si>
  <si>
    <t xml:space="preserve">Untapped segment. High retention.</t>
  </si>
  <si>
    <t xml:space="preserve">        Bodegas para constructoras y remodelación</t>
  </si>
  <si>
    <t xml:space="preserve">/bodegas-para-constructoras/</t>
  </si>
  <si>
    <t xml:space="preserve">Untapped segment.</t>
  </si>
  <si>
    <t xml:space="preserve">        Bodegas pequeñas</t>
  </si>
  <si>
    <t xml:space="preserve">/bodegas-pequenas/</t>
  </si>
  <si>
    <t xml:space="preserve">1B · Size</t>
  </si>
  <si>
    <t xml:space="preserve">Size-led entry point. Highest conversion axis.</t>
  </si>
  <si>
    <t xml:space="preserve">2</t>
  </si>
  <si>
    <t xml:space="preserve">        Bodegas medianas</t>
  </si>
  <si>
    <t xml:space="preserve">/bodegas-medianas/</t>
  </si>
  <si>
    <t xml:space="preserve">Size-led entry point.</t>
  </si>
  <si>
    <t xml:space="preserve">        Bodegas grandes</t>
  </si>
  <si>
    <t xml:space="preserve">/bodegas-grandes/</t>
  </si>
  <si>
    <t xml:space="preserve">        Espacios personalizados y áreas productivas</t>
  </si>
  <si>
    <t xml:space="preserve">/espacios-personalizados/</t>
  </si>
  <si>
    <t xml:space="preserve">Key differentiator. No competitor offers this.</t>
  </si>
  <si>
    <t xml:space="preserve">        Nuestras sedes</t>
  </si>
  <si>
    <t xml:space="preserve">/sedes/</t>
  </si>
  <si>
    <t xml:space="preserve">1C · Location</t>
  </si>
  <si>
    <t xml:space="preserve">Location hub. Map of all sites.</t>
  </si>
  <si>
    <t xml:space="preserve">            Sede Autopista Norte · Calle 197</t>
  </si>
  <si>
    <t xml:space="preserve">/sedes/autopista-norte-197/</t>
  </si>
  <si>
    <t xml:space="preserve">PRIORITY SITE. Lowest occupancy, highest capacity.</t>
  </si>
  <si>
    <t xml:space="preserve">            Sede Toberín</t>
  </si>
  <si>
    <t xml:space="preserve">/sedes/toberin/</t>
  </si>
  <si>
    <t xml:space="preserve">Covers Toberín 1, 2 and 4 in one page.</t>
  </si>
  <si>
    <t xml:space="preserve">            Sede Spring · Calle 135</t>
  </si>
  <si>
    <t xml:space="preserve">/sedes/spring-calle-135/</t>
  </si>
  <si>
    <t xml:space="preserve">Site page.</t>
  </si>
  <si>
    <t xml:space="preserve">            Sede Paloquemao</t>
  </si>
  <si>
    <t xml:space="preserve">/sedes/paloquemao/</t>
  </si>
  <si>
    <t xml:space="preserve">Covers Paloquemao 32 and 17 in one page.</t>
  </si>
  <si>
    <t xml:space="preserve">    MUDANZAS EN BOGOTÁ</t>
  </si>
  <si>
    <t xml:space="preserve">/mudanzas-bogota/</t>
  </si>
  <si>
    <t xml:space="preserve">2 · Mudanzas</t>
  </si>
  <si>
    <t xml:space="preserve">Supporting silo pillar. Feeds traffic into Silo 1.</t>
  </si>
  <si>
    <t xml:space="preserve">        Trasteos en Bogotá</t>
  </si>
  <si>
    <t xml:space="preserve">/trasteos-bogota/</t>
  </si>
  <si>
    <t xml:space="preserve">Highest-volume term available to the business.</t>
  </si>
  <si>
    <t xml:space="preserve">        Mudanzas empresariales</t>
  </si>
  <si>
    <t xml:space="preserve">/mudanzas-empresariales/</t>
  </si>
  <si>
    <t xml:space="preserve">Corporate moving. Cross-sells corporate storage.</t>
  </si>
  <si>
    <t xml:space="preserve">        Transporte de mercancías</t>
  </si>
  <si>
    <t xml:space="preserve">/transporte-de-mercancias/</t>
  </si>
  <si>
    <t xml:space="preserve">Logistics service.</t>
  </si>
  <si>
    <t xml:space="preserve">    Empaque y embalaje</t>
  </si>
  <si>
    <t xml:space="preserve">/empaque-y-embalaje/</t>
  </si>
  <si>
    <t xml:space="preserve">3 · Complementary</t>
  </si>
  <si>
    <t xml:space="preserve">Differentiator page.</t>
  </si>
  <si>
    <t xml:space="preserve">    Seguros y pólizas</t>
  </si>
  <si>
    <t xml:space="preserve">/seguros-y-polizas/</t>
  </si>
  <si>
    <t xml:space="preserve">Trust driver. Competitors all publish this.</t>
  </si>
  <si>
    <t xml:space="preserve">    Asesoría logística</t>
  </si>
  <si>
    <t xml:space="preserve">/asesoria-logistica/</t>
  </si>
  <si>
    <t xml:space="preserve">Consultative positioning.</t>
  </si>
  <si>
    <t xml:space="preserve">    Quiénes somos</t>
  </si>
  <si>
    <t xml:space="preserve">/quienes-somos/</t>
  </si>
  <si>
    <t xml:space="preserve">4 · Company</t>
  </si>
  <si>
    <t xml:space="preserve">Experience and credibility. Founded 2011.</t>
  </si>
  <si>
    <t xml:space="preserve">    Seguridad en nuestras sedes</t>
  </si>
  <si>
    <t xml:space="preserve">/seguridad/</t>
  </si>
  <si>
    <t xml:space="preserve">Answers the primary purchase objection.</t>
  </si>
  <si>
    <t xml:space="preserve">    Precios y tarifas</t>
  </si>
  <si>
    <t xml:space="preserve">/precios/</t>
  </si>
  <si>
    <t xml:space="preserve">Answers the dominant unmet search intent.</t>
  </si>
  <si>
    <t xml:space="preserve">    Preguntas frecuentes</t>
  </si>
  <si>
    <t xml:space="preserve">/preguntas-frecuentes/</t>
  </si>
  <si>
    <t xml:space="preserve">FAQ hub. Targets People Also Ask questions.</t>
  </si>
  <si>
    <t xml:space="preserve">    Contacto</t>
  </si>
  <si>
    <t xml:space="preserve">/contacto/</t>
  </si>
  <si>
    <t xml:space="preserve">Conversion + NAP consistency.</t>
  </si>
  <si>
    <t xml:space="preserve">    Términos y condiciones</t>
  </si>
  <si>
    <t xml:space="preserve">/terminos-y-condiciones/</t>
  </si>
  <si>
    <t xml:space="preserve">Currently published as a .txt file. Must become HTML.</t>
  </si>
  <si>
    <t xml:space="preserve">    Política de tratamiento de datos</t>
  </si>
  <si>
    <t xml:space="preserve">/politica-tratamiento-de-datos/</t>
  </si>
  <si>
    <t xml:space="preserve">Ley 1581 de 2012 requirement.</t>
  </si>
  <si>
    <t xml:space="preserve">    PQRS</t>
  </si>
  <si>
    <t xml:space="preserve">/pqrs/</t>
  </si>
  <si>
    <t xml:space="preserve">Standard in this market. All competitors have one.</t>
  </si>
  <si>
    <t xml:space="preserve">    Blog</t>
  </si>
  <si>
    <t xml:space="preserve">/blog/</t>
  </si>
  <si>
    <t xml:space="preserve">5 · Content</t>
  </si>
  <si>
    <t xml:space="preserve">Top-of-funnel hub. Links up into Silo 1.</t>
  </si>
  <si>
    <t xml:space="preserve">    Calculadora de espacio</t>
  </si>
  <si>
    <t xml:space="preserve">/calculadora-de-espacio/</t>
  </si>
  <si>
    <t xml:space="preserve">Conversion</t>
  </si>
  <si>
    <t xml:space="preserve">Site-wide tool. Every competitor has one; we do not.</t>
  </si>
  <si>
    <t xml:space="preserve">    Cotizar</t>
  </si>
  <si>
    <t xml:space="preserve">/cotizar/</t>
  </si>
  <si>
    <t xml:space="preserve">Qualifying form. Replaces raw WhatsApp links.</t>
  </si>
  <si>
    <t xml:space="preserve">Total pages specified:</t>
  </si>
  <si>
    <t xml:space="preserve">Phase 1 pages:</t>
  </si>
  <si>
    <t xml:space="preserve">Phase 2 pages:</t>
  </si>
  <si>
    <t xml:space="preserve">Phase 3 pages:</t>
  </si>
  <si>
    <t xml:space="preserve">Page Specification</t>
  </si>
  <si>
    <t xml:space="preserve">One row per page. Titles and meta descriptions are drafts for the content team — character counts noted. Wireframe template names map to the visual HTML file.</t>
  </si>
  <si>
    <t xml:space="preserve">Wireframe
template</t>
  </si>
  <si>
    <t xml:space="preserve">Primary target keyword</t>
  </si>
  <si>
    <t xml:space="preserve">Est. monthly
searches (Bogotá)</t>
  </si>
  <si>
    <t xml:space="preserve">Page title (&lt;60 char)</t>
  </si>
  <si>
    <t xml:space="preserve">H1</t>
  </si>
  <si>
    <t xml:space="preserve">Meta description (&lt;155 char)</t>
  </si>
  <si>
    <t xml:space="preserve">Required content blocks (in order)</t>
  </si>
  <si>
    <t xml:space="preserve">Links DOWN to</t>
  </si>
  <si>
    <t xml:space="preserve">Links UP to</t>
  </si>
  <si>
    <t xml:space="preserve">Structured data</t>
  </si>
  <si>
    <t xml:space="preserve">Primary CTA</t>
  </si>
  <si>
    <t xml:space="preserve">Notes</t>
  </si>
  <si>
    <t xml:space="preserve">T1 Home</t>
  </si>
  <si>
    <t xml:space="preserve">storage bogotá</t>
  </si>
  <si>
    <t xml:space="preserve">170  ·  'storage' 2,400</t>
  </si>
  <si>
    <t xml:space="preserve">Storage S.A.S | Minibodegas y Bodegaje en Bogotá</t>
  </si>
  <si>
    <t xml:space="preserve">Minibodegas y bodegaje en Bogotá desde 2011</t>
  </si>
  <si>
    <t xml:space="preserve">7 sedes en Bogotá con más de 500 minibodegas. Espacios desde 1 m³ para hogar y empresa. Calcula tu espacio y cotiza en línea.</t>
  </si>
  <si>
    <t xml:space="preserve">1 Hero with real HTML headline + Cotizar CTA (NOT an image) · 2 Space calculator entry point · 3 Three silo entries: Bodegaje / Sedes / Mudanzas · 4 Sede grid, Calle 197 first · 5 Size selector strip · 6 Segment strip (hogar / empresa) · 7 Trust bar: 2011, 7 sedes, 500+ bodegas, CCTV 24/7 · 8 Google reviews · 9 Client logos · 10 FAQ accordion (3 items) · 11 NAP footer</t>
  </si>
  <si>
    <t xml:space="preserve">/bodegaje-bogota/ · /sedes/ · /mudanzas-bogota/ · /calculadora-de-espacio/</t>
  </si>
  <si>
    <t xml:space="preserve">Organization · WebSite · SiteNavigationElement</t>
  </si>
  <si>
    <t xml:space="preserve">Cotizar (form)</t>
  </si>
  <si>
    <t xml:space="preserve">PROTECT: the homepage currently ranks #3 for 'storage' and #5 for 'storage bogotá'. Do not change the URL or remove the brand signal. The hero and category blocks are presently PNG images with no crawlable text — this is the single biggest fix on the site.</t>
  </si>
  <si>
    <t xml:space="preserve">T2 Silo pillar</t>
  </si>
  <si>
    <t xml:space="preserve">bodegaje bogotá</t>
  </si>
  <si>
    <t xml:space="preserve">720  ·  1,000 nationally</t>
  </si>
  <si>
    <t xml:space="preserve">Bodegaje en Bogotá | Minibodegas desde 1 m³</t>
  </si>
  <si>
    <t xml:space="preserve">Bodegaje y minibodegas en Bogotá</t>
  </si>
  <si>
    <t xml:space="preserve">Bodegaje seguro en 7 sedes de Bogotá. Minibodegas independientes con candado propio, CCTV 24/7 y contratos flexibles. Cotiza hoy.</t>
  </si>
  <si>
    <t xml:space="preserve">1 Intro: what bodegaje is and who it is for · 2 Choose by size (4 cards → 1B) · 3 Choose by segment (2 cards → 1A) · 4 Choose by sede (5 cards → 1C) · 5 What is included: security, access, insurance · 6 How it works, 4 steps · 7 Price range block linking to /precios/ · 8 FAQ · 9 CTA band</t>
  </si>
  <si>
    <t xml:space="preserve">All of 1A, 1B and 1C</t>
  </si>
  <si>
    <t xml:space="preserve">Service · BreadcrumbList · FAQPage</t>
  </si>
  <si>
    <t xml:space="preserve">Calcular espacio</t>
  </si>
  <si>
    <t xml:space="preserve">CANNIBALISATION RISK: the homepage currently ranks #9 for 'bodegaje bogotá'. When this pillar goes live, retarget the homepage title toward brand + 'storage' and let the pillar own 'bodegaje'. Monitor both for 60 days after launch.</t>
  </si>
  <si>
    <t xml:space="preserve">T3 Segment</t>
  </si>
  <si>
    <t xml:space="preserve">bodegas para guardar trasteos</t>
  </si>
  <si>
    <t xml:space="preserve">210</t>
  </si>
  <si>
    <t xml:space="preserve">Minibodegas para Hogar en Bogotá | Storage S.A.S</t>
  </si>
  <si>
    <t xml:space="preserve">Minibodegas para hogar en Bogotá</t>
  </si>
  <si>
    <t xml:space="preserve">Guarda muebles, trasteos y objetos del hogar en minibodegas seguras en Bogotá. Espacios desde 1 m³, sin permanencia mínima.</t>
  </si>
  <si>
    <t xml:space="preserve">1 Use cases: mudanza, remodelación, viaje, herencia, falta de espacio · 2 What fits in each size (visual m³ guide) · 3 Recommended size selector · 4 Security block · 5 Nearest sede finder · 6 Packing tips → blog · 7 FAQ · 8 CTA</t>
  </si>
  <si>
    <t xml:space="preserve">/bodegas-pequenas/ · /bodegas-medianas/ · /sedes/</t>
  </si>
  <si>
    <t xml:space="preserve">Service · BreadcrumbList</t>
  </si>
  <si>
    <t xml:space="preserve">Highest-intent residential term available. Pair with the calculator — the workbook notes competitors all have one and Storage does not.</t>
  </si>
  <si>
    <t xml:space="preserve">mini bodegas storage</t>
  </si>
  <si>
    <t xml:space="preserve">260</t>
  </si>
  <si>
    <t xml:space="preserve">Bodegas para Empresas en Bogotá | Storage S.A.S</t>
  </si>
  <si>
    <t xml:space="preserve">Bodegas y espacios para empresas en Bogotá</t>
  </si>
  <si>
    <t xml:space="preserve">Almacenamiento empresarial en Bogotá: inventario, archivo, mobiliario y operación logística. Espacios flexibles y asesoría dedicada.</t>
  </si>
  <si>
    <t xml:space="preserve">1 Business use cases: inventario, archivo, mobiliario, proyectos · 2 Espacios productivos block (differentiator) · 3 Flexible contract terms · 4 Corporate client logos · 5 Dedicated account contact · 6 Cross-link to mudanzas empresariales · 7 CTA to corporate form</t>
  </si>
  <si>
    <t xml:space="preserve">/espacios-personalizados/ · /almacenamiento-de-archivo-y-documentos/</t>
  </si>
  <si>
    <t xml:space="preserve">Solicitar asesoría</t>
  </si>
  <si>
    <t xml:space="preserve">Corporate leads carry higher contract value and longer retention — the workbook names recurring revenue as the strategic priority.</t>
  </si>
  <si>
    <t xml:space="preserve">T4 Location hub</t>
  </si>
  <si>
    <t xml:space="preserve">minibodegas bogotá</t>
  </si>
  <si>
    <t xml:space="preserve">140–170</t>
  </si>
  <si>
    <t xml:space="preserve">Nuestras Sedes | 7 Bodegas en Bogotá | Storage</t>
  </si>
  <si>
    <t xml:space="preserve">Nuestras sedes en Bogotá</t>
  </si>
  <si>
    <t xml:space="preserve">7 sedes de minibodegas en Bogotá: Toberín, Spring Calle 135, Paloquemao y Autopista Norte Calle 197. Encuentra la más cercana.</t>
  </si>
  <si>
    <t xml:space="preserve">1 Interactive map with all 7 physical addresses · 2 Sede cards: photo, address, hours, phone, available sizes · 3 Calle 197 featured first · 4 Zone coverage explainer (Usaquén, Chapinero, Suba, Sabana Norte) · 5 CTA</t>
  </si>
  <si>
    <t xml:space="preserve">All sede pages</t>
  </si>
  <si>
    <t xml:space="preserve">/bodegaje-bogota/ · /</t>
  </si>
  <si>
    <t xml:space="preserve">ItemList of LocalBusiness</t>
  </si>
  <si>
    <t xml:space="preserve">Ver sede / Cómo llegar</t>
  </si>
  <si>
    <t xml:space="preserve">Storage has 7 physical sites and currently zero location pages. This is the largest untapped asset on the site.</t>
  </si>
  <si>
    <t xml:space="preserve">T5 Sede</t>
  </si>
  <si>
    <t xml:space="preserve">minibodegas autopista norte bogotá</t>
  </si>
  <si>
    <t xml:space="preserve">Below reporting threshold</t>
  </si>
  <si>
    <t xml:space="preserve">Minibodegas Autopista Norte Calle 197 | Storage</t>
  </si>
  <si>
    <t xml:space="preserve">Sede Autopista Norte · Calle 197</t>
  </si>
  <si>
    <t xml:space="preserve">Minibodegas en Autopista Norte con Calle 197, Bogotá. 200 unidades disponibles, acceso vehicular y CCTV 24/7. Agenda tu visita.</t>
  </si>
  <si>
    <t xml:space="preserve">1 Hero with address + Cómo llegar · 2 Photo gallery of THIS site · 3 Available sizes and current availability · 4 Access hours and vehicle access · 5 Security features · 6 Embedded map + Waze/Google links · 7 Zones served: Sabana Norte, Chía, Cajicá, Cota, Sopó · 8 Reviews for this location · 9 Book a visit CTA</t>
  </si>
  <si>
    <t xml:space="preserve">/bodegas-pequenas/ · /bodegas-medianas/ · /bodegas-grandes/</t>
  </si>
  <si>
    <t xml:space="preserve">LocalBusiness (SelfStorage) · BreadcrumbList</t>
  </si>
  <si>
    <t xml:space="preserve">Agendar visita</t>
  </si>
  <si>
    <t xml:space="preserve">PRIORITY PAGE. Newest site, ~200 units, lowest occupancy. Give it the featured slot on /sedes/ and a header nav entry. Its Sabana Norte angle is unique — no other sede can claim it.</t>
  </si>
  <si>
    <t xml:space="preserve">minibodegas toberín</t>
  </si>
  <si>
    <t xml:space="preserve">Minibodegas en Toberín, Bogotá | Storage S.A.S</t>
  </si>
  <si>
    <t xml:space="preserve">Sede Toberín · Bogotá Norte</t>
  </si>
  <si>
    <t xml:space="preserve">Minibodegas en Toberín, Usaquén. Tres puntos sobre la Calle 163 y Carrera 19B con más de 200 unidades. Visítanos.</t>
  </si>
  <si>
    <t xml:space="preserve">1 Hero + all three Toberín addresses · 2 Photos · 3 Sizes available · 4 Access hours · 5 Security · 6 Map with 3 pins · 7 Zones served: Usaquén, Cedritos, Toberín, Santa Bárbara · 8 Reviews · 9 CTA</t>
  </si>
  <si>
    <t xml:space="preserve">Size pages</t>
  </si>
  <si>
    <t xml:space="preserve">DELIBERATE MERGE: Toberín 1, 2 and 4 sit within a few blocks of each other. Three near-identical pages would be thin content. One page, three addresses. Claim a separate Google Business Profile for each physical address regardless — profiles and pages do not need to map one to one.</t>
  </si>
  <si>
    <t xml:space="preserve">minibodegas calle 135 bogotá</t>
  </si>
  <si>
    <t xml:space="preserve">Minibodegas Calle 135 Bogotá | Sede Spring</t>
  </si>
  <si>
    <t xml:space="preserve">Sede Spring · Calle 135</t>
  </si>
  <si>
    <t xml:space="preserve">Minibodegas en la Calle 135 con Carrera 46, Bogotá. Espacios seguros con acceso independiente y monitoreo permanente.</t>
  </si>
  <si>
    <t xml:space="preserve">1 Hero + address · 2 Photos · 3 Sizes · 4 Hours · 5 Security · 6 Map · 7 Zones served: Suba, Colina, Niza, Pasadena · 8 Reviews · 9 CTA</t>
  </si>
  <si>
    <t xml:space="preserve">Note: a direct competitor lists an address on the same block. Local pack position will be decided by Google Business Profile quality and review volume, not by the website alone.</t>
  </si>
  <si>
    <t xml:space="preserve">minibodegas paloquemao</t>
  </si>
  <si>
    <t xml:space="preserve">Minibodegas en Paloquemao, Bogotá | Storage</t>
  </si>
  <si>
    <t xml:space="preserve">Sede Paloquemao · Bogotá Centro</t>
  </si>
  <si>
    <t xml:space="preserve">Minibodegas en Paloquemao, Bogotá centro. Dos puntos con acceso para carga y monitoreo 24 horas. Cotiza tu espacio.</t>
  </si>
  <si>
    <t xml:space="preserve">1 Hero + both Paloquemao addresses · 2 Photos · 3 Sizes · 4 Hours · 5 Security · 6 Map with 2 pins · 7 Zones served: Centro, Puente Aranda, Los Mártires, Ricaurte · 8 Reviews · 9 CTA</t>
  </si>
  <si>
    <t xml:space="preserve">Merges Paloquemao 32 and Paloquemao 17. Only central sites in the network — position them for commercial and market-trader inventory rather than residential.</t>
  </si>
  <si>
    <t xml:space="preserve">mudanzas bogotá</t>
  </si>
  <si>
    <t xml:space="preserve">2,400</t>
  </si>
  <si>
    <t xml:space="preserve">Mudanzas en Bogotá | Empresa desde 2011 | Storage</t>
  </si>
  <si>
    <t xml:space="preserve">Mudanzas en Bogotá</t>
  </si>
  <si>
    <t xml:space="preserve">Mudanzas locales y empresariales en Bogotá con personal propio, empaque y seguro. Más de 10 años moviendo hogares y oficinas.</t>
  </si>
  <si>
    <t xml:space="preserve">1 Intro · 2 Services: local, empresarial, empaque · 3 How it works · 4 What is included · 5 Fleet and team · 6 BRIDGE BLOCK: '¿Tu mudanza necesita almacenamiento temporal?' → /bodegaje-bogota/ · 7 Reviews · 8 FAQ · 9 CTA</t>
  </si>
  <si>
    <t xml:space="preserve">/trasteos-bogota/ · /mudanzas-empresariales/ · /empaque-y-embalaje/</t>
  </si>
  <si>
    <t xml:space="preserve">Cotizar mudanza</t>
  </si>
  <si>
    <t xml:space="preserve">STRATEGIC TENSION, FLAGGED HONESTLY: the workbook asks to de-emphasise mudanzas, but mudanzas terms carry roughly 4x the search volume of storage terms in this market. Resolution: keep mudanzas as a traffic acquisition silo and route it into storage via the bridge block. Do not let it outrank or out-link the storage silo.</t>
  </si>
  <si>
    <t xml:space="preserve">trasteos bogotá</t>
  </si>
  <si>
    <t xml:space="preserve">1,900–2,400</t>
  </si>
  <si>
    <t xml:space="preserve">Trasteos en Bogotá | Rápidos y Asegurados | Storage</t>
  </si>
  <si>
    <t xml:space="preserve">Trasteos en Bogotá</t>
  </si>
  <si>
    <t xml:space="preserve">Trasteos en Bogotá con equipo propio, empaque incluido y seguro opcional. Cotiza tu trasteo en minutos por WhatsApp.</t>
  </si>
  <si>
    <t xml:space="preserve">1 Intro · 2 What is included · 3 Pricing factors (transparent, no fixed promise) · 4 Coverage zones · 5 Bridge to bodegaje · 6 Reviews · 7 FAQ · 8 CTA</t>
  </si>
  <si>
    <t xml:space="preserve">Cotizar trasteo</t>
  </si>
  <si>
    <t xml:space="preserve">The homepage currently ranks around position 53 for this term with no dedicated page. A purpose-built page is the clearest single opportunity in the whole specification.</t>
  </si>
  <si>
    <t xml:space="preserve">T6 Info</t>
  </si>
  <si>
    <t xml:space="preserve">cuánto cuesta una minibodega en bogotá</t>
  </si>
  <si>
    <t xml:space="preserve">See note</t>
  </si>
  <si>
    <t xml:space="preserve">Precios de Minibodegas en Bogotá | Storage S.A.S</t>
  </si>
  <si>
    <t xml:space="preserve">Precios y tarifas</t>
  </si>
  <si>
    <t xml:space="preserve">Conoce el rango de precios de nuestras minibodegas en Bogotá según tamaño y sede. Sin costos ocultos. Cotización personalizada.</t>
  </si>
  <si>
    <t xml:space="preserve">1 Price range table by size band · 2 What affects the price: tamaño, sede, permanencia, servicios · 3 What is included at no extra cost · 4 What costs extra · 5 Comparison against the cost of moving to a larger home · 6 Calculator CTA · 7 FAQ</t>
  </si>
  <si>
    <t xml:space="preserve">/calculadora-de-espacio/ · size pages</t>
  </si>
  <si>
    <t xml:space="preserve">FAQPage · BreadcrumbList</t>
  </si>
  <si>
    <t xml:space="preserve">Cotizar</t>
  </si>
  <si>
    <t xml:space="preserve">EVIDENCE-LED ADDITION. Every one of the four People Also Ask questions on the 'bodegaje bogotá' results page is a price question. This is the dominant unmet intent in the market and no named competitor answers it directly on-page. Publishing ranges — not a lowest-price claim — satisfies the query while holding the brand's 'do not compete on price' rule from Sheet 9 Q7.</t>
  </si>
  <si>
    <t xml:space="preserve">FAQ cluster</t>
  </si>
  <si>
    <t xml:space="preserve">n/a</t>
  </si>
  <si>
    <t xml:space="preserve">Preguntas Frecuentes | Minibodegas Storage Bogotá</t>
  </si>
  <si>
    <t xml:space="preserve">Preguntas frecuentes</t>
  </si>
  <si>
    <t xml:space="preserve">Resolvemos las dudas más comunes sobre minibodegas en Bogotá: precios, tamaños, seguridad, acceso, contratos y seguros.</t>
  </si>
  <si>
    <t xml:space="preserve">1 Accordion grouped by theme: precios, tamaños, seguridad, acceso, contrato, seguros, mudanzas · 2 Each answer links to the relevant silo page · 3 Contact CTA</t>
  </si>
  <si>
    <t xml:space="preserve">All silos</t>
  </si>
  <si>
    <t xml:space="preserve">Contactar</t>
  </si>
  <si>
    <t xml:space="preserve">Build the question list directly from the People Also Ask and Related Searches data in tab 03 rather than inventing questions.</t>
  </si>
  <si>
    <t xml:space="preserve">seguridad minibodegas</t>
  </si>
  <si>
    <t xml:space="preserve">Seguridad en Nuestras Bodegas | Storage S.A.S</t>
  </si>
  <si>
    <t xml:space="preserve">Cómo protegemos lo que guardas</t>
  </si>
  <si>
    <t xml:space="preserve">CCTV 24/7, sensores de humo, registro individual de ingreso y candado propio del cliente en todas nuestras sedes de Bogotá.</t>
  </si>
  <si>
    <t xml:space="preserve">1 Security features with photographs of the real installations · 2 Access control process · 3 Insurance options · 4 Inventory registration · 5 Per-sede security notes · 6 CTA</t>
  </si>
  <si>
    <t xml:space="preserve">/seguros-y-polizas/ · /sedes/</t>
  </si>
  <si>
    <t xml:space="preserve">WebPage · BreadcrumbList</t>
  </si>
  <si>
    <t xml:space="preserve">Security is the primary purchase objection in self-storage. Sheet 9 Q7 asks to avoid alarmist framing — write this as reassurance and capability, never as a warning about theft.</t>
  </si>
  <si>
    <t xml:space="preserve">storage sas bogotá</t>
  </si>
  <si>
    <t xml:space="preserve">Brand term</t>
  </si>
  <si>
    <t xml:space="preserve">Quiénes Somos | Storage S.A.S Bogotá desde 2011</t>
  </si>
  <si>
    <t xml:space="preserve">Quiénes somos</t>
  </si>
  <si>
    <t xml:space="preserve">Desde 2011 ofrecemos soluciones de almacenamiento y logística en Bogotá. 7 sedes, 22 profesionales y más de 500 bodegas.</t>
  </si>
  <si>
    <t xml:space="preserve">1 Company story from 2011 · 2 Team and roles · 3 Numbers: 7 sedes, 500+ bodegas, 22 empleados · 4 Facility photos · 5 Values · 6 Corporate clients · 7 CTA</t>
  </si>
  <si>
    <t xml:space="preserve">/sedes/ · /seguridad/</t>
  </si>
  <si>
    <t xml:space="preserve">AboutPage · Organization</t>
  </si>
  <si>
    <t xml:space="preserve">This is the E-E-A-T page. Real names, real photographs, real dates. Google's quality rater guidelines weight demonstrated experience and verifiable business identity.</t>
  </si>
  <si>
    <t xml:space="preserve">contacto storage bogotá</t>
  </si>
  <si>
    <t xml:space="preserve">Contacto | Storage S.A.S Minibodegas Bogotá</t>
  </si>
  <si>
    <t xml:space="preserve">Contáctanos</t>
  </si>
  <si>
    <t xml:space="preserve">Escríbenos por WhatsApp, llámanos o visita cualquiera de nuestras 7 sedes en Bogotá. Atención de lunes a sábado.</t>
  </si>
  <si>
    <t xml:space="preserve">1 Qualifying form (primary) · 2 WhatsApp, phone, email · 3 All 7 addresses with maps · 4 Business hours · 5 Response time commitment</t>
  </si>
  <si>
    <t xml:space="preserve">ContactPage · Organization</t>
  </si>
  <si>
    <t xml:space="preserve">Enviar formulario</t>
  </si>
  <si>
    <t xml:space="preserve">NAP (name, address, phone) must match the Google Business Profiles character for character. Inconsistent NAP is a common and avoidable local ranking problem.</t>
  </si>
  <si>
    <t xml:space="preserve">T7 Tool</t>
  </si>
  <si>
    <t xml:space="preserve">calcular espacio bodega</t>
  </si>
  <si>
    <t xml:space="preserve">Calculadora de Espacio | ¿Qué Bodega Necesito?</t>
  </si>
  <si>
    <t xml:space="preserve">Calcula el espacio que necesitas</t>
  </si>
  <si>
    <t xml:space="preserve">Selecciona tus muebles y objetos y te decimos qué tamaño de bodega necesitas. Resultado inmediato y cotización sin compromiso.</t>
  </si>
  <si>
    <t xml:space="preserve">1 Item selector by room · 2 Running m³ total · 3 Recommended size + matching sede availability · 4 Result hands off to the qualifying form · 5 Save/share result</t>
  </si>
  <si>
    <t xml:space="preserve">Size pages · /cotizar/</t>
  </si>
  <si>
    <t xml:space="preserve">WebApplication</t>
  </si>
  <si>
    <t xml:space="preserve">Ver mi cotización</t>
  </si>
  <si>
    <t xml:space="preserve">COMPETITIVE GAP. All three benchmark competitors publish a space calculator; storagebogota.com does not. It is both a ranking asset and the highest-intent lead capture point on the site.</t>
  </si>
  <si>
    <t xml:space="preserve">cotizar bodega bogotá</t>
  </si>
  <si>
    <t xml:space="preserve">Cotiza tu Bodega en Bogotá | Storage S.A.S</t>
  </si>
  <si>
    <t xml:space="preserve">Cotiza tu espacio</t>
  </si>
  <si>
    <t xml:space="preserve">Cuéntanos qué necesitas guardar y en qué zona. Te enviamos una propuesta con la sede y el tamaño que mejor se ajustan.</t>
  </si>
  <si>
    <t xml:space="preserve">1 Short qualifying form: sede de interés, tamaño aproximado, fecha de inicio, contacto · 2 Submits to CRM · 3 Fires the analytics conversion event · 4 THEN hands off to WhatsApp with context pre-filled · 5 Expected response time shown</t>
  </si>
  <si>
    <t xml:space="preserve">All pages</t>
  </si>
  <si>
    <t xml:space="preserve">WebPage</t>
  </si>
  <si>
    <t xml:space="preserve">Enviar</t>
  </si>
  <si>
    <t xml:space="preserve">THE HIGHEST-VALUE CHANGE IN THIS SPECIFICATION. Today every CTA on the site is a raw WhatsApp deep link, which destroys campaign attribution at the moment of click, provides no lead qualification and gives the sales team no context before first contact. Sheet 8 Q5 names attribution as the client's most important measurement goal and Sheet 6 Q5 names the conversation stage as where most prospects are lost. This page addresses both.</t>
  </si>
  <si>
    <t xml:space="preserve">Términos y Condiciones | Storage S.A.S</t>
  </si>
  <si>
    <t xml:space="preserve">Términos y condiciones</t>
  </si>
  <si>
    <t xml:space="preserve">Condiciones de contratación del servicio de bodegaje y mudanzas de Storage S.A.S en Bogotá.</t>
  </si>
  <si>
    <t xml:space="preserve">1 Full terms as HTML text · 2 Last updated date · 3 Contact for queries</t>
  </si>
  <si>
    <t xml:space="preserve">Footer</t>
  </si>
  <si>
    <t xml:space="preserve">Currently published as a raw .txt file upload. Convert to a normal HTML page — the .txt file is not indexable in any useful way and reads as unfinished to a prospective customer.</t>
  </si>
  <si>
    <t xml:space="preserve">Política de Tratamiento de Datos | Storage S.A.S</t>
  </si>
  <si>
    <t xml:space="preserve">Política de tratamiento de datos personales</t>
  </si>
  <si>
    <t xml:space="preserve">Cómo recolectamos, usamos y protegemos tus datos personales conforme a la Ley 1581 de 2012.</t>
  </si>
  <si>
    <t xml:space="preserve">1 Policy text · 2 Data controller identification · 3 Rights and procedure · 4 Contact channel</t>
  </si>
  <si>
    <t xml:space="preserve">Already exists on the site. Review that it covers the new qualifying form and any CRM data transfer, and link it from every form.</t>
  </si>
  <si>
    <t xml:space="preserve">T8 Size</t>
  </si>
  <si>
    <t xml:space="preserve">bodegas pequeñas en arriendo bogotá</t>
  </si>
  <si>
    <t xml:space="preserve">Bodegas Pequeñas en Arriendo Bogotá | Desde 1 m³</t>
  </si>
  <si>
    <t xml:space="preserve">Bodegas pequeñas</t>
  </si>
  <si>
    <t xml:space="preserve">Bodegas pequeñas en arriendo en Bogotá, ideales para cajas, archivo y objetos de un apartaestudio. Desde 1 m³.</t>
  </si>
  <si>
    <t xml:space="preserve">1 Size range with dimensions · 2 Visual: what fits in this size · 3 Price band · 4 Which sedes have this size available · 5 Comparison with the next size up · 6 CTA</t>
  </si>
  <si>
    <t xml:space="preserve">Product/Offer · BreadcrumbList</t>
  </si>
  <si>
    <t xml:space="preserve">PENDING INVENTORY DATA. The exact m³ bands, unit counts per band and price per band are held in the occupancy file that has not yet been supplied. Copy cannot be finalised until then — see tab 07.</t>
  </si>
  <si>
    <t xml:space="preserve">bodegas medianas bogotá</t>
  </si>
  <si>
    <t xml:space="preserve">Bodegas Medianas en Bogotá | Storage S.A.S</t>
  </si>
  <si>
    <t xml:space="preserve">Bodegas medianas</t>
  </si>
  <si>
    <t xml:space="preserve">Bodegas medianas en Bogotá para el contenido de un apartamento de una o dos habitaciones. Acceso libre en horario de atención.</t>
  </si>
  <si>
    <t xml:space="preserve">1 Size range · 2 What fits · 3 Price band · 4 Availability by sede · 5 Size comparison · 6 CTA</t>
  </si>
  <si>
    <t xml:space="preserve">PENDING INVENTORY DATA — see tab 07.</t>
  </si>
  <si>
    <t xml:space="preserve">bodegas grandes bogotá</t>
  </si>
  <si>
    <t xml:space="preserve">Bodegas Grandes en Arriendo Bogotá | Storage</t>
  </si>
  <si>
    <t xml:space="preserve">Bodegas grandes</t>
  </si>
  <si>
    <t xml:space="preserve">Bodegas grandes en Bogotá para casas completas, inventario comercial y mobiliario de oficina. Acceso vehicular.</t>
  </si>
  <si>
    <t xml:space="preserve">1 Size range · 2 What fits · 3 Price band · 4 Availability by sede · 5 Vehicle access note · 6 CTA</t>
  </si>
  <si>
    <t xml:space="preserve">/sedes/ · /minibodegas-para-empresas/</t>
  </si>
  <si>
    <t xml:space="preserve">espacios productivos bogotá</t>
  </si>
  <si>
    <t xml:space="preserve">Espacios Personalizados y Áreas Productivas | Storage</t>
  </si>
  <si>
    <t xml:space="preserve">Espacios personalizados y áreas productivas</t>
  </si>
  <si>
    <t xml:space="preserve">Diseñamos el espacio a la medida de tu operación: áreas productivas, bodegas de gran formato y configuraciones especiales.</t>
  </si>
  <si>
    <t xml:space="preserve">1 What a custom space is · 2 Case examples · 3 Consultative process · 4 Which sedes can accommodate · 5 Dedicated contact CTA</t>
  </si>
  <si>
    <t xml:space="preserve">TRUE DIFFERENTIATOR. Reviewed against all six named competitors, none offers configurable productive space. Low search volume, high contract value — build it for sales enablement and corporate credibility, not for traffic.</t>
  </si>
  <si>
    <t xml:space="preserve">mudanzas empresariales bogotá</t>
  </si>
  <si>
    <t xml:space="preserve">Mudanzas Empresariales en Bogotá | Storage S.A.S</t>
  </si>
  <si>
    <t xml:space="preserve">Mudanzas empresariales</t>
  </si>
  <si>
    <t xml:space="preserve">Traslado de oficinas, archivo y mobiliario corporativo en Bogotá con mínima interrupción de tu operación.</t>
  </si>
  <si>
    <t xml:space="preserve">1 Corporate moving process · 2 Out-of-hours scheduling · 3 Inventory control · 4 Insurance · 5 Bridge to corporate storage · 6 Client logos · 7 CTA</t>
  </si>
  <si>
    <t xml:space="preserve">Solicitar propuesta</t>
  </si>
  <si>
    <t xml:space="preserve">Strongest cross-sell path in the site: companies that move are companies that need interim storage.</t>
  </si>
  <si>
    <t xml:space="preserve">empaque para mudanza bogotá</t>
  </si>
  <si>
    <t xml:space="preserve">Empaque y Embalaje para Mudanzas | Storage Bogotá</t>
  </si>
  <si>
    <t xml:space="preserve">Empaque y embalaje</t>
  </si>
  <si>
    <t xml:space="preserve">Materiales y servicio de empaque profesional para mudanzas y almacenamiento en Bogotá. Protege lo que más te importa.</t>
  </si>
  <si>
    <t xml:space="preserve">1 Materials offered · 2 Professional packing service · 3 Packing guide by item type · 4 Pricing approach · 5 CTA</t>
  </si>
  <si>
    <t xml:space="preserve">/mudanzas-bogota/ · /bodegaje-bogota/</t>
  </si>
  <si>
    <t xml:space="preserve">Competitors treat empaque as a standalone differentiator page. It also supports a useful blog cluster.</t>
  </si>
  <si>
    <t xml:space="preserve">seguro para bodega</t>
  </si>
  <si>
    <t xml:space="preserve">Seguros y Pólizas para tu Bodega | Storage S.A.S</t>
  </si>
  <si>
    <t xml:space="preserve">Seguros y pólizas</t>
  </si>
  <si>
    <t xml:space="preserve">Opciones de póliza para proteger tus bienes almacenados en nuestras sedes de Bogotá. Coberturas claras y sin letra pequeña.</t>
  </si>
  <si>
    <t xml:space="preserve">1 Why insurance matters · 2 Coverage options · 3 What is and is not covered · 4 How to contract it · 5 CTA</t>
  </si>
  <si>
    <t xml:space="preserve">/seguridad/ · /bodegaje-bogota/</t>
  </si>
  <si>
    <t xml:space="preserve">Consultar</t>
  </si>
  <si>
    <t xml:space="preserve">Every benchmark competitor publishes this. Its absence is a visible trust gap.</t>
  </si>
  <si>
    <t xml:space="preserve">PQRS | Peticiones, Quejas y Reclamos | Storage</t>
  </si>
  <si>
    <t xml:space="preserve">PQRS</t>
  </si>
  <si>
    <t xml:space="preserve">Radica tu petición, queja, reclamo o sugerencia. Respondemos en los tiempos establecidos por la normativa colombiana.</t>
  </si>
  <si>
    <t xml:space="preserve">1 PQRS form · 2 Response timeframes · 3 Escalation path</t>
  </si>
  <si>
    <t xml:space="preserve">ContactPage</t>
  </si>
  <si>
    <t xml:space="preserve">Radicar PQRS</t>
  </si>
  <si>
    <t xml:space="preserve">Standard expectation in the Colombian market and present on every competitor site reviewed.</t>
  </si>
  <si>
    <t xml:space="preserve">T9 Blog hub</t>
  </si>
  <si>
    <t xml:space="preserve">blog cluster</t>
  </si>
  <si>
    <t xml:space="preserve">Blog | Consejos de Almacenamiento y Mudanzas</t>
  </si>
  <si>
    <t xml:space="preserve">Recursos y consejos</t>
  </si>
  <si>
    <t xml:space="preserve">Guías prácticas sobre almacenamiento, mudanzas, empaque y organización de espacios en Bogotá.</t>
  </si>
  <si>
    <t xml:space="preserve">1 Category filter · 2 Article grid · 3 Featured article · 4 Newsletter or CTA band</t>
  </si>
  <si>
    <t xml:space="preserve">All articles</t>
  </si>
  <si>
    <t xml:space="preserve">Blog · BreadcrumbList</t>
  </si>
  <si>
    <t xml:space="preserve">Replace the current 'Uncategorized' default category with real categories. Six launch articles are listed in tab 06.</t>
  </si>
  <si>
    <t xml:space="preserve">bodegas para ecommerce</t>
  </si>
  <si>
    <t xml:space="preserve">Bodegas para E-commerce en Bogotá | Storage S.A.S</t>
  </si>
  <si>
    <t xml:space="preserve">Bodegas para e-commerce y emprendedores</t>
  </si>
  <si>
    <t xml:space="preserve">Almacena y despacha tu inventario desde nuestras sedes en Bogotá. Espacios flexibles que crecen con tus ventas.</t>
  </si>
  <si>
    <t xml:space="preserve">1 E-commerce use case · 2 Access hours for daily dispatch · 3 Scaling between sizes · 4 Nearby courier access · 5 CTA</t>
  </si>
  <si>
    <t xml:space="preserve">/bodegas-pequenas/ · /sedes/</t>
  </si>
  <si>
    <t xml:space="preserve">Named as an untapped segment in Sheet 7 Q6. Search volume is currently negligible, so build it for sales enablement and paid landing use rather than organic traffic. Be explicit with the client about that distinction.</t>
  </si>
  <si>
    <t xml:space="preserve">almacenamiento de archivo bogotá</t>
  </si>
  <si>
    <t xml:space="preserve">Almacenamiento de Archivo y Documentos | Bogotá</t>
  </si>
  <si>
    <t xml:space="preserve">Almacenamiento de archivo y documentos</t>
  </si>
  <si>
    <t xml:space="preserve">Custodia de archivo físico y documentación empresarial en Bogotá. Espacios secos, seguros y de acceso controlado.</t>
  </si>
  <si>
    <t xml:space="preserve">1 Archive storage use case · 2 Conditions: humidity, security, access control · 3 Retention periods · 4 Access procedure · 5 CTA</t>
  </si>
  <si>
    <t xml:space="preserve">Long-retention, low-churn segment. Strong fit with the recurring-revenue goal in Sheet 2 Q3.</t>
  </si>
  <si>
    <t xml:space="preserve">bodegas para constructoras</t>
  </si>
  <si>
    <t xml:space="preserve">Bodegas para Constructoras y Remodelación | Bogotá</t>
  </si>
  <si>
    <t xml:space="preserve">Bodegas para constructoras y remodelación</t>
  </si>
  <si>
    <t xml:space="preserve">Guarda materiales, herramienta y mobiliario durante obras y remodelaciones en Bogotá. Contratos por proyecto.</t>
  </si>
  <si>
    <t xml:space="preserve">1 Construction use case · 2 Project-length contracts · 3 Vehicle access and loading · 4 Which sedes suit · 5 CTA</t>
  </si>
  <si>
    <t xml:space="preserve">Named as an untapped segment in Sheet 7 Q6.</t>
  </si>
  <si>
    <t xml:space="preserve">transporte de mercancías bogotá</t>
  </si>
  <si>
    <t xml:space="preserve">Transporte de Mercancías en Bogotá | Storage S.A.S</t>
  </si>
  <si>
    <t xml:space="preserve">Transporte de mercancías</t>
  </si>
  <si>
    <t xml:space="preserve">Transporte y distribución de mercancía en Bogotá con flota propia y control de inventario en cada entrega.</t>
  </si>
  <si>
    <t xml:space="preserve">1 Service scope · 2 Fleet · 3 Coverage · 4 Inventory control · 5 CTA</t>
  </si>
  <si>
    <t xml:space="preserve">Completes the integrated-service story without diluting the storage focus.</t>
  </si>
  <si>
    <t xml:space="preserve">asesoría logística bogotá</t>
  </si>
  <si>
    <t xml:space="preserve">Asesoría Logística para Empresas | Storage S.A.S</t>
  </si>
  <si>
    <t xml:space="preserve">Asesoría logística</t>
  </si>
  <si>
    <t xml:space="preserve">Te ayudamos a diseñar la operación de almacenamiento y distribución que tu empresa necesita en Bogotá.</t>
  </si>
  <si>
    <t xml:space="preserve">1 Consultative approach · 2 What the assessment covers · 3 Example outcomes · 4 CTA</t>
  </si>
  <si>
    <t xml:space="preserve">/minibodegas-para-empresas/ · /espacios-personalizados/</t>
  </si>
  <si>
    <t xml:space="preserve">Supports the positioning goal in Sheet 9 Q7 of being seen as a storage partner rather than a warehouse landlord.</t>
  </si>
  <si>
    <t xml:space="preserve">Total pages:</t>
  </si>
  <si>
    <t xml:space="preserve">Keyword Validation</t>
  </si>
  <si>
    <t xml:space="preserve">Source: Google Ads Keyword Planner data feed via DataForSEO. Retrieved 14 August 2026. Location: Bogotá, Colombia. Language: Spanish.</t>
  </si>
  <si>
    <t xml:space="preserve">Keyword</t>
  </si>
  <si>
    <t xml:space="preserve">Est. monthly searches</t>
  </si>
  <si>
    <t xml:space="preserve">12-month range</t>
  </si>
  <si>
    <t xml:space="preserve">Competition</t>
  </si>
  <si>
    <t xml:space="preserve">Est. CPC (USD)</t>
  </si>
  <si>
    <t xml:space="preserve">Assigned to page</t>
  </si>
  <si>
    <t xml:space="preserve">Verdict</t>
  </si>
  <si>
    <t xml:space="preserve">1,900 – 2,900</t>
  </si>
  <si>
    <t xml:space="preserve">Medium</t>
  </si>
  <si>
    <t xml:space="preserve">2.13</t>
  </si>
  <si>
    <t xml:space="preserve">Highest-volume term available to this business. Roughly 4x any storage term. Cannot be ignored even though storage is the strategic priority.</t>
  </si>
  <si>
    <t xml:space="preserve">1,900</t>
  </si>
  <si>
    <t xml:space="preserve">1,600 – 2,400</t>
  </si>
  <si>
    <t xml:space="preserve">2.14</t>
  </si>
  <si>
    <t xml:space="preserve">High volume, low difficulty. The site currently ranks near position 53 with no dedicated page. Clearest single opportunity in this specification.</t>
  </si>
  <si>
    <t xml:space="preserve">bodegas en arriendo bogotá</t>
  </si>
  <si>
    <t xml:space="preserve">1,300 – 2,400</t>
  </si>
  <si>
    <t xml:space="preserve">High</t>
  </si>
  <si>
    <t xml:space="preserve">2.41</t>
  </si>
  <si>
    <t xml:space="preserve">Not targeted — see verdict</t>
  </si>
  <si>
    <t xml:space="preserve">REJECTED AS A PRIMARY TARGET. The results page is dominated by property portals listing industrial warehouses averaging tens of millions of pesos per month. This is not self-storage intent. Chasing it would attract unqualified traffic. Use it only as a secondary term inside /bodegaje-bogota/.</t>
  </si>
  <si>
    <t xml:space="preserve">oikos storage</t>
  </si>
  <si>
    <t xml:space="preserve">1,000</t>
  </si>
  <si>
    <t xml:space="preserve">1,000 – 1,300</t>
  </si>
  <si>
    <t xml:space="preserve">1.43</t>
  </si>
  <si>
    <t xml:space="preserve">Not targeted organically</t>
  </si>
  <si>
    <t xml:space="preserve">Competitor brand term. Substantial volume and unusually cheap, but ranking organically against a brand for its own name is very difficult and the traffic converts poorly. Consider it for a paid competitor campaign with tight negatives — not an organic page.</t>
  </si>
  <si>
    <t xml:space="preserve">720</t>
  </si>
  <si>
    <t xml:space="preserve">590 – 880</t>
  </si>
  <si>
    <t xml:space="preserve">3.89</t>
  </si>
  <si>
    <t xml:space="preserve">PRIMARY STORAGE TARGET. Genuine self-storage intent, the site already ranks around position 9 with no dedicated page, and the local pack sits above the organic results — meaning Google Business Profiles matter as much as the page.</t>
  </si>
  <si>
    <t xml:space="preserve">bodegas en arriendo</t>
  </si>
  <si>
    <t xml:space="preserve">590</t>
  </si>
  <si>
    <t xml:space="preserve">480 – 720</t>
  </si>
  <si>
    <t xml:space="preserve">1.51</t>
  </si>
  <si>
    <t xml:space="preserve">/bodegaje-bogota/ secondary</t>
  </si>
  <si>
    <t xml:space="preserve">Broader variant. Same mixed-intent caution as the Bogotá version, but less severe.</t>
  </si>
  <si>
    <t xml:space="preserve">bodegaje</t>
  </si>
  <si>
    <t xml:space="preserve">390</t>
  </si>
  <si>
    <t xml:space="preserve">320 – 480</t>
  </si>
  <si>
    <t xml:space="preserve">Low</t>
  </si>
  <si>
    <t xml:space="preserve">4.53</t>
  </si>
  <si>
    <t xml:space="preserve">National-level term. Low competition, high commercial value per click.</t>
  </si>
  <si>
    <t xml:space="preserve">140 – 260</t>
  </si>
  <si>
    <t xml:space="preserve">3.06</t>
  </si>
  <si>
    <t xml:space="preserve">Transactional intent, residential. The homepage already ranks around position 10. A dedicated page should improve on that.</t>
  </si>
  <si>
    <t xml:space="preserve">mini bodegas bogotá</t>
  </si>
  <si>
    <t xml:space="preserve">170</t>
  </si>
  <si>
    <t xml:space="preserve">110 – 260</t>
  </si>
  <si>
    <t xml:space="preserve">3.67</t>
  </si>
  <si>
    <t xml:space="preserve">Lower than expected. Spelling variants split the volume — cover both 'mini bodegas' and 'minibodegas' in copy.</t>
  </si>
  <si>
    <t xml:space="preserve">110 – 210</t>
  </si>
  <si>
    <t xml:space="preserve">4.52</t>
  </si>
  <si>
    <t xml:space="preserve">/ (homepage)</t>
  </si>
  <si>
    <t xml:space="preserve">Exact brand-domain match. The site already ranks around position 5. Protect it.</t>
  </si>
  <si>
    <t xml:space="preserve">140 – 320</t>
  </si>
  <si>
    <t xml:space="preserve">1.95</t>
  </si>
  <si>
    <t xml:space="preserve">Transactional intent. Site currently ranks around position 28.</t>
  </si>
  <si>
    <t xml:space="preserve">bodegas de almacenamiento</t>
  </si>
  <si>
    <t xml:space="preserve">Commercial intent, rising trend.</t>
  </si>
  <si>
    <t xml:space="preserve">140</t>
  </si>
  <si>
    <t xml:space="preserve">4.26</t>
  </si>
  <si>
    <t xml:space="preserve">Most expensive storage term in the set. High commercial value per visitor.</t>
  </si>
  <si>
    <t xml:space="preserve">alquiler de bodegas bogotá</t>
  </si>
  <si>
    <t xml:space="preserve">3.96</t>
  </si>
  <si>
    <t xml:space="preserve">Same mixed-intent caution as 'bodegas en arriendo'.</t>
  </si>
  <si>
    <t xml:space="preserve">bodegas de almacenamiento bogotá</t>
  </si>
  <si>
    <t xml:space="preserve">40</t>
  </si>
  <si>
    <t xml:space="preserve">30 – 50</t>
  </si>
  <si>
    <t xml:space="preserve">3.45</t>
  </si>
  <si>
    <t xml:space="preserve">Low volume, precise intent.</t>
  </si>
  <si>
    <t xml:space="preserve">self storage bogotá</t>
  </si>
  <si>
    <t xml:space="preserve">10</t>
  </si>
  <si>
    <t xml:space="preserve">6.54</t>
  </si>
  <si>
    <t xml:space="preserve">Highest cost-per-click in the set but almost no volume. The English term has not taken hold in this market — use Spanish terminology throughout.</t>
  </si>
  <si>
    <t xml:space="preserve">Effectively no organic demand today. Build the page for sales enablement and paid landing use, not for traffic. Be explicit with the client about this.</t>
  </si>
  <si>
    <t xml:space="preserve">bodegas para empresas bogotá</t>
  </si>
  <si>
    <t xml:space="preserve">No data</t>
  </si>
  <si>
    <t xml:space="preserve">Below the reporting threshold. Target the page at 'mini bodegas storage' instead and treat this as a secondary phrase.</t>
  </si>
  <si>
    <t xml:space="preserve">Below the reporting threshold. Segment page justified by contract value, not search volume.</t>
  </si>
  <si>
    <t xml:space="preserve">minibodegas bogotá norte</t>
  </si>
  <si>
    <t xml:space="preserve">Below the reporting threshold. Zone terms in this market are too thin to justify standalone zone pages — see the doorway-page caution in tab 06.</t>
  </si>
  <si>
    <t xml:space="preserve">PEOPLE ALSO ASK — all four questions returned on the 'bodegaje bogotá' results page (14 Aug 2026):</t>
  </si>
  <si>
    <t xml:space="preserve">   ¿Cuánto vale una bodega pequeña en Bogotá?</t>
  </si>
  <si>
    <t xml:space="preserve">   ¿Cuánto cuesta una bodega para guardar muebles en Bogotá?</t>
  </si>
  <si>
    <t xml:space="preserve">   ¿Cuánto cuesta el arriendo de una mini bodega?</t>
  </si>
  <si>
    <t xml:space="preserve">   ¿Cuánto vale alquilar una bodega en Bogotá?</t>
  </si>
  <si>
    <t xml:space="preserve">Every single one is a price question. This is why /precios/ was added to the specification.</t>
  </si>
  <si>
    <t xml:space="preserve">RELATED SEARCHES on the same results page:</t>
  </si>
  <si>
    <t xml:space="preserve">   Bodegas para guardar trasteos Bogotá precios</t>
  </si>
  <si>
    <t xml:space="preserve">   Bodegas pequeñas en arriendo Bogotá</t>
  </si>
  <si>
    <t xml:space="preserve">   Mini bodegas Bogotá precios</t>
  </si>
  <si>
    <t xml:space="preserve">   Bodegas por meses Bogotá</t>
  </si>
  <si>
    <t xml:space="preserve">   Oikos bodegas</t>
  </si>
  <si>
    <t xml:space="preserve">   Bodegas América Bogotá</t>
  </si>
  <si>
    <t xml:space="preserve">What storagebogota.com Ranks For Today</t>
  </si>
  <si>
    <t xml:space="preserve">27 keywords in total across the whole domain. Source: DataForSEO Labs, Colombia / Spanish, retrieved 14 August 2026. This is the asset the new structure must protect.</t>
  </si>
  <si>
    <t xml:space="preserve">Current position</t>
  </si>
  <si>
    <t xml:space="preserve">Ranking URL</t>
  </si>
  <si>
    <t xml:space="preserve">What this means</t>
  </si>
  <si>
    <t xml:space="preserve">storage</t>
  </si>
  <si>
    <t xml:space="preserve">The single most valuable position the site holds. A generic, low-difficulty term with real volume. Any restructure must not disturb the homepage URL or its brand signal.</t>
  </si>
  <si>
    <t xml:space="preserve">5</t>
  </si>
  <si>
    <t xml:space="preserve">Exact match to the domain. Strong, defensible position.</t>
  </si>
  <si>
    <t xml:space="preserve">storage en bogotá</t>
  </si>
  <si>
    <t xml:space="preserve">8</t>
  </si>
  <si>
    <t xml:space="preserve">Variant of the above.</t>
  </si>
  <si>
    <t xml:space="preserve">1,000 (national)</t>
  </si>
  <si>
    <t xml:space="preserve">9</t>
  </si>
  <si>
    <t xml:space="preserve">Ranking with the homepage and no dedicated page. A purpose-built pillar should improve this — but watch for cannibalisation between the two.</t>
  </si>
  <si>
    <t xml:space="preserve">Transactional residential intent, already close to page one. /minibodegas-para-hogar/ should take this over.</t>
  </si>
  <si>
    <t xml:space="preserve">tu bodegaje</t>
  </si>
  <si>
    <t xml:space="preserve">320</t>
  </si>
  <si>
    <t xml:space="preserve">14</t>
  </si>
  <si>
    <t xml:space="preserve">/bodegajes/</t>
  </si>
  <si>
    <t xml:space="preserve">Competitor brand term picked up incidentally.</t>
  </si>
  <si>
    <t xml:space="preserve">minibodegas storage</t>
  </si>
  <si>
    <t xml:space="preserve">22</t>
  </si>
  <si>
    <t xml:space="preserve">The /bodegajes/ page does list the sede addresses as real text, which is why it ranks at all.</t>
  </si>
  <si>
    <t xml:space="preserve">storage minibodegas</t>
  </si>
  <si>
    <t xml:space="preserve">18</t>
  </si>
  <si>
    <t xml:space="preserve">Same page, same reason.</t>
  </si>
  <si>
    <t xml:space="preserve">storage mini bodegas</t>
  </si>
  <si>
    <t xml:space="preserve">Same cluster.</t>
  </si>
  <si>
    <t xml:space="preserve">28</t>
  </si>
  <si>
    <t xml:space="preserve">bodegas américa bogotá</t>
  </si>
  <si>
    <t xml:space="preserve">480</t>
  </si>
  <si>
    <t xml:space="preserve">27</t>
  </si>
  <si>
    <t xml:space="preserve">Competitor brand term.</t>
  </si>
  <si>
    <t xml:space="preserve">32</t>
  </si>
  <si>
    <t xml:space="preserve">National term, page two. Reachable.</t>
  </si>
  <si>
    <t xml:space="preserve">bodegaje en bogotá</t>
  </si>
  <si>
    <t xml:space="preserve">39</t>
  </si>
  <si>
    <t xml:space="preserve">Should be consolidated into the new pillar.</t>
  </si>
  <si>
    <t xml:space="preserve">self storage</t>
  </si>
  <si>
    <t xml:space="preserve">37</t>
  </si>
  <si>
    <t xml:space="preserve">English term, limited local traction.</t>
  </si>
  <si>
    <t xml:space="preserve">50</t>
  </si>
  <si>
    <t xml:space="preserve">Reachable with a dedicated page.</t>
  </si>
  <si>
    <t xml:space="preserve">53</t>
  </si>
  <si>
    <t xml:space="preserve">High volume, no dedicated page, deep position. The biggest gap between potential and current state on the whole site.</t>
  </si>
  <si>
    <t xml:space="preserve">servicio de mudanza bogotá</t>
  </si>
  <si>
    <t xml:space="preserve">65</t>
  </si>
  <si>
    <t xml:space="preserve">No dedicated mudanzas depth.</t>
  </si>
  <si>
    <t xml:space="preserve">acarreos soacha</t>
  </si>
  <si>
    <t xml:space="preserve">49</t>
  </si>
  <si>
    <t xml:space="preserve">Incidental. Soacha is outside the stated service area.</t>
  </si>
  <si>
    <t xml:space="preserve">READING THIS TABLE</t>
  </si>
  <si>
    <t xml:space="preserve">Two things stand out. First, the site already holds a genuinely valuable position — number 3 for 'storage' — from a five-page site with almost no crawlable text. That is a foundation, not a blank slate, and the restructure has to be careful with it.</t>
  </si>
  <si>
    <t xml:space="preserve">Second, almost every ranking above position 20 comes from just two URLs: the homepage and /bodegajes/. There is nothing else on the site for Google to rank. Every page in this specification is a new opportunity for the domain to compete where it currently cannot appear at all.</t>
  </si>
  <si>
    <t xml:space="preserve">The homepage is being asked to rank for storage terms, mudanzas terms and brand terms simultaneously. Splitting those jobs across dedicated pages is the core purpose of the silo structure.</t>
  </si>
  <si>
    <t xml:space="preserve">Competitor Structural Benchmark</t>
  </si>
  <si>
    <t xml:space="preserve">Reviewed 14 August 2026 by fetching each site directly. Focus is on information architecture, not design.</t>
  </si>
  <si>
    <t xml:space="preserve">Competitor</t>
  </si>
  <si>
    <t xml:space="preserve">Approx. structure</t>
  </si>
  <si>
    <t xml:space="preserve">Organisational axis</t>
  </si>
  <si>
    <t xml:space="preserve">Conversion tools</t>
  </si>
  <si>
    <t xml:space="preserve">What to take from them</t>
  </si>
  <si>
    <t xml:space="preserve">What to avoid</t>
  </si>
  <si>
    <t xml:space="preserve">OIKOS Storage
oikos-storage.com</t>
  </si>
  <si>
    <t xml:space="preserve">Largest reviewed. 20+ individual Bogotá sede pages, plus Barranquilla, Bucaramanga, Cali, Sabana de Bogotá and Quito. Segment pages, capacity page, FAQ, PQRS and an actively published news section.</t>
  </si>
  <si>
    <t xml:space="preserve">Three axes at once: segment (hogares / negocios / empresas), location (country → city → sede), and service.</t>
  </si>
  <si>
    <t xml:space="preserve">Space calculator, chat capture form with name / email / phone / city, national phone lines.</t>
  </si>
  <si>
    <t xml:space="preserve">The three-axis model is the right one and is what this specification adopts. Their per-sede pages are the reason they dominate location searches. Their news section publishes several times a week.</t>
  </si>
  <si>
    <t xml:space="preserve">They are a large group with construction and real-estate arms behind them. Do not benchmark publishing volume against them — match the structure, not the output rate.</t>
  </si>
  <si>
    <t xml:space="preserve">Más Metros
masmetros.com.co</t>
  </si>
  <si>
    <t xml:space="preserve">Most aggressive keyword-led URL architecture reviewed. Zone pages, segment pages, differentiator pages (empaque, personal especializado, movimientos por fachada, pólizas), city pages, international moving pages, neighbourhood-level moving pages and a blog.</t>
  </si>
  <si>
    <t xml:space="preserve">Keyword-first: a URL for nearly every commercially meaningful phrase.</t>
  </si>
  <si>
    <t xml:space="preserve">WhatsApp deep links, a short name-and-mobile capture form, embedded live Google reviews on service pages.</t>
  </si>
  <si>
    <t xml:space="preserve">Embedding live Google reviews directly on service pages is worth copying. So is the differentiator-page pattern — giving empaque, seguros and specialised handling their own pages instead of burying them in a list.</t>
  </si>
  <si>
    <t xml:space="preserve">Their neighbourhood pages run close to what Google's spam policies describe as doorway pages — many near-identical pages built to catch location variants. Do not replicate that pattern. Build a location page only where a real site serves that area with genuinely distinct content.</t>
  </si>
  <si>
    <t xml:space="preserve">Keep &amp; Go
keepngo.com</t>
  </si>
  <si>
    <t xml:space="preserve">Smallest and cleanest of the three. A locations hub, a storage page organised entirely by size, a moving and packing page, and a blog.</t>
  </si>
  <si>
    <t xml:space="preserve">Size-first. Their whole storage offer is segmented by volume band, each with its own anchor.</t>
  </si>
  <si>
    <t xml:space="preserve">Appointment booking rather than instant quote, Waze deep links per sede, Rappi storefront integration.</t>
  </si>
  <si>
    <t xml:space="preserve">The size-first model is the strongest conversion axis reviewed, because it matches how customers actually think about the problem. This is why silo 1B exists. Their Waze links are a small, high-value local touch for Bogotá.</t>
  </si>
  <si>
    <t xml:space="preserve">Their site is thin on organic surface area. Clean structure alone will not out-rank depth.</t>
  </si>
  <si>
    <t xml:space="preserve">Renta Espacio
rentaespacio.co</t>
  </si>
  <si>
    <t xml:space="preserve">Mid-size. Ranks on page one for both 'bodegas en arriendo bogotá' and 'bodegaje bogotá' — the only self-storage operator to appear high in the former.</t>
  </si>
  <si>
    <t xml:space="preserve">Size-led on the homepage (10 m³ / 15 m³ / 25 m³), supported by an article layer.</t>
  </si>
  <si>
    <t xml:space="preserve">Free quotation and free site visit offer, prominently placed.</t>
  </si>
  <si>
    <t xml:space="preserve">The 'cotización y visita gratis' offer is a low-friction commitment that converts well in this category. Their article on temporary storage ranks on page one — evidence that the blog layer earns its place.</t>
  </si>
  <si>
    <t xml:space="preserve">Note the domain is rentaespacio.co, not .com as listed in the discovery workbook. Worth correcting in the client's records.</t>
  </si>
  <si>
    <t xml:space="preserve">Te Lo Guardo
teloguardo.com.co</t>
  </si>
  <si>
    <t xml:space="preserve">Not returned in any of the storage results pages checked during this review.</t>
  </si>
  <si>
    <t xml:space="preserve">Not assessed.</t>
  </si>
  <si>
    <t xml:space="preserve">No structural lesson available from the searches performed.</t>
  </si>
  <si>
    <t xml:space="preserve">Listed by the client as a competitor but did not surface in the searches checked. Worth confirming with the client whether they compete commercially rather than in search.</t>
  </si>
  <si>
    <t xml:space="preserve">Guardapp
guardapp.com.co</t>
  </si>
  <si>
    <t xml:space="preserve">Same as above — confirm whether the competitive overlap is commercial rather than in search.</t>
  </si>
  <si>
    <t xml:space="preserve">COMPETITORS NOT ON THE CLIENT'S LIST THAT APPEAR IN THE RESULTS</t>
  </si>
  <si>
    <t xml:space="preserve">The 'bodegaje bogotá' results page returned several operators the discovery workbook does not mention: Mudango, Bodegas América, serviciodebodegaje.com, bodegajeyalmacenamiento.com.co, tu-bodegaje.com, bodegaje.co and SNAP Storage.</t>
  </si>
  <si>
    <t xml:space="preserve">The most important observation: positions 1, 2 and 3 on that page are all local pack listings, and none of them belong to OIKOS, Más Metros or Keep &amp; Go. They are small operators with 9, 2 and 18 Google reviews respectively.</t>
  </si>
  <si>
    <t xml:space="preserve">That means the top of the most commercially relevant results page in this market is currently held by businesses with very few reviews. A well-maintained Google Business Profile with a steady review flow is the cheapest available route to that position — and Storage S.A.S has seven physical sites and no claimed profiles.</t>
  </si>
  <si>
    <t xml:space="preserve">Recommendation: claim and populate all seven Google Business Profiles before the site work completes. It is independent of the build and is likely the highest-return action available right now.</t>
  </si>
  <si>
    <t xml:space="preserve">Recommended Build Order</t>
  </si>
  <si>
    <t xml:space="preserve">Three phases. Each is independently shippable — the site stays coherent if a later phase is delayed.</t>
  </si>
  <si>
    <t xml:space="preserve">Scope</t>
  </si>
  <si>
    <t xml:space="preserve">Pages</t>
  </si>
  <si>
    <t xml:space="preserve">Why this order</t>
  </si>
  <si>
    <t xml:space="preserve">Dependencies</t>
  </si>
  <si>
    <t xml:space="preserve">Phase 1</t>
  </si>
  <si>
    <t xml:space="preserve">Foundation and commercial core</t>
  </si>
  <si>
    <t xml:space="preserve">Homepage rebuild · /bodegaje-bogota/ · /minibodegas-para-hogar/ · /minibodegas-para-empresas/ · /sedes/ and 4 sede pages · /mudanzas-bogota/ · /trasteos-bogota/ · /precios/ · /preguntas-frecuentes/ · /seguridad/ · /quienes-somos/ · /contacto/ · /terminos-y-condiciones/ · /politica-tratamiento-de-datos/ · /calculadora-de-espacio/ · /cotizar/</t>
  </si>
  <si>
    <t xml:space="preserve">This phase captures everything the site can compete for using data already in hand. The homepage rebuild fixes the image-only content problem. The sede pages open a channel that is currently entirely closed. /trasteos-bogota/ addresses the largest single gap. /cotizar/ fixes attribution before any campaign spend is measured against it.</t>
  </si>
  <si>
    <t xml:space="preserve">Sede photographs. Confirmed addresses and hours. Brand assets in vector format. Google Business Profiles claimed in parallel.</t>
  </si>
  <si>
    <t xml:space="preserve">Phase 2</t>
  </si>
  <si>
    <t xml:space="preserve">Depth and differentiation</t>
  </si>
  <si>
    <t xml:space="preserve">4 size pages · /espacios-personalizados/ · /mudanzas-empresariales/ · /empaque-y-embalaje/ · /seguros-y-polizas/ · /pqrs/ · /blog/ plus 6 launch articles</t>
  </si>
  <si>
    <t xml:space="preserve">The size pages are the strongest conversion axis but cannot be written without real inventory bands. Everything else here deepens the trust layer and opens the content funnel. Six launch articles give the blog enough substance to be worth indexing.</t>
  </si>
  <si>
    <t xml:space="preserve">BLOCKED ON INVENTORY DATA: exact m³ bands, unit counts per band and price band per size. This is the occupancy file currently parked.</t>
  </si>
  <si>
    <t xml:space="preserve">Phase 3</t>
  </si>
  <si>
    <t xml:space="preserve">Segment expansion</t>
  </si>
  <si>
    <t xml:space="preserve">/bodegas-para-ecommerce/ · /almacenamiento-de-archivo-y-documentos/ · /bodegas-para-constructoras/ · /transporte-de-mercancias/ · /asesoria-logistica/</t>
  </si>
  <si>
    <t xml:space="preserve">These target the untapped segments named in the discovery workbook. Search volume for all of them is currently below the reporting threshold, so they are built for sales enablement, paid landing pages and corporate credibility rather than organic traffic. Building them last means Phase 1 and 2 results can inform how they are written.</t>
  </si>
  <si>
    <t xml:space="preserve">Phase 1 and 2 performance data. Client input on which segments the sales team is actually winning.</t>
  </si>
  <si>
    <t xml:space="preserve">SIX LAUNCH BLOG ARTICLES (Phase 2)</t>
  </si>
  <si>
    <t xml:space="preserve">   ¿Cuánto espacio necesito? Guía de tamaños de bodega en m³  →  links up to the size pages and the calculator</t>
  </si>
  <si>
    <t xml:space="preserve">   Cómo empacar muebles para almacenamiento prolongado  →  links up to /empaque-y-embalaje/</t>
  </si>
  <si>
    <t xml:space="preserve">   Almacenamiento durante una mudanza: cómo coordinar ambos servicios  →  the bridge article between the two silos</t>
  </si>
  <si>
    <t xml:space="preserve">   Qué se puede y qué no se puede guardar en una minibodega  →  answers a common pre-purchase question</t>
  </si>
  <si>
    <t xml:space="preserve">   Almacenamiento para pymes: cuándo deja de ser rentable alquilar oficina  →  links up to /minibodegas-para-empresas/</t>
  </si>
  <si>
    <t xml:space="preserve">   Cómo organizar tu bodega para aprovechar cada metro cúbico  →  retention content for existing customers</t>
  </si>
  <si>
    <t xml:space="preserve">LINKING RULES THAT MAKE THE SILO WORK</t>
  </si>
  <si>
    <t xml:space="preserve">1. Vertical linking. A pillar links down to its children. Children link back up to the pillar and sideways only within the same silo. Cross-silo connections happen through the header and footer, not through body copy.</t>
  </si>
  <si>
    <t xml:space="preserve">2. One deliberate exception. Mudanzas pages link into the bodegaje silo through a single bridge block. The link runs one direction only — mudanzas into bodegaje, never back. People who are moving are the highest-intent storage audience there is.</t>
  </si>
  <si>
    <t xml:space="preserve">3. Sede pages carry a real address, embedded map, real photographs, opening hours, available sizes and LocalBusiness structured data. If a page cannot carry all of those, it should not exist.</t>
  </si>
  <si>
    <t xml:space="preserve">4. No speculative zone pages. Build a location page only where a physical site serves that area and the content is genuinely distinct. Mass-produced near-identical location pages are what Google's spam policies describe as doorway pages, and at least one competitor is running close to that line.</t>
  </si>
  <si>
    <t xml:space="preserve">5. The Calle 197 site gets structural priority everywhere: a header nav entry, a homepage module and the featured position on the sedes hub. Its Sabana Norte catchment is unique in the network.</t>
  </si>
  <si>
    <t xml:space="preserve">6. Every page carries real HTML text. Images may illustrate; they may not carry the message. This is the single biggest fix on the current site.</t>
  </si>
  <si>
    <t xml:space="preserve">Open Items</t>
  </si>
  <si>
    <t xml:space="preserve">What is still needed from Storage S.A.S, and what is blocked without it. Yellow rows block a Phase 1 or Phase 2 deliverable.</t>
  </si>
  <si>
    <t xml:space="preserve">#</t>
  </si>
  <si>
    <t xml:space="preserve">Item</t>
  </si>
  <si>
    <t xml:space="preserve">Needed for</t>
  </si>
  <si>
    <t xml:space="preserve">Blocks</t>
  </si>
  <si>
    <t xml:space="preserve">Owner</t>
  </si>
  <si>
    <t xml:space="preserve">Status</t>
  </si>
  <si>
    <t xml:space="preserve">Sede photographs — interior and exterior, for all 7 physical sites</t>
  </si>
  <si>
    <t xml:space="preserve">All 4 sede pages, homepage sede grid</t>
  </si>
  <si>
    <t xml:space="preserve">Sede pages can be built but will not convert without them. Location pages without real photographs read as untrustworthy.</t>
  </si>
  <si>
    <t xml:space="preserve">Storage S.A.S</t>
  </si>
  <si>
    <t xml:space="preserve">Open</t>
  </si>
  <si>
    <t xml:space="preserve">Unit inventory by size band, per sede — m³ dimensions, number of units, price band</t>
  </si>
  <si>
    <t xml:space="preserve">The 4 size pages in silo 1B</t>
  </si>
  <si>
    <t xml:space="preserve">BLOCKS ALL OF PHASE 2 silo 1B. These pages cannot be written from assumptions.</t>
  </si>
  <si>
    <t xml:space="preserve">Parked</t>
  </si>
  <si>
    <t xml:space="preserve">Current occupancy by sede</t>
  </si>
  <si>
    <t xml:space="preserve">Prioritisation of which sedes to promote and which to hold back</t>
  </si>
  <si>
    <t xml:space="preserve">Without it, the sedes hub cannot dynamically favour the sites that need filling — which is the stated commercial objective.</t>
  </si>
  <si>
    <t xml:space="preserve">Price ranges by size band</t>
  </si>
  <si>
    <t xml:space="preserve">/precios/ is a Phase 1 page and addresses the dominant search intent in this market. It needs real ranges, not placeholders.</t>
  </si>
  <si>
    <t xml:space="preserve">Location count confirmation — 7 or 8 sites</t>
  </si>
  <si>
    <t xml:space="preserve">Sedes hub, all location pages, Google Business Profiles</t>
  </si>
  <si>
    <t xml:space="preserve">The discovery workbook is internally inconsistent: the instructions tab refers to 8 Bogotá locations, the company overview and locations tabs both list 7.</t>
  </si>
  <si>
    <t xml:space="preserve">Brand assets in vector format and hex colour codes</t>
  </si>
  <si>
    <t xml:space="preserve">Visual design phase, all templates</t>
  </si>
  <si>
    <t xml:space="preserve">Wireframes are deliberately unstyled. Visual design cannot begin without them. The workbook notes logos exist only as JPG and colours are unknown.</t>
  </si>
  <si>
    <t xml:space="preserve">Confirmed single WhatsApp number and single phone number</t>
  </si>
  <si>
    <t xml:space="preserve">Every page, all Google Business Profiles, structured data</t>
  </si>
  <si>
    <t xml:space="preserve">Several different numbers appear across the two domains and social profiles. Inconsistent contact details across a local business's web presence undermine local ranking signals.</t>
  </si>
  <si>
    <t xml:space="preserve">Confirmation that Medellín is not being served</t>
  </si>
  <si>
    <t xml:space="preserve">Scope of the location silo</t>
  </si>
  <si>
    <t xml:space="preserve">The workbook says Bogotá only in one place and notes future interest in Medellín in another. Do not build pages for a city with no operation behind them.</t>
  </si>
  <si>
    <t xml:space="preserve">Google Business Profiles claimed for all physical sites</t>
  </si>
  <si>
    <t xml:space="preserve">Local pack visibility</t>
  </si>
  <si>
    <t xml:space="preserve">Independent of the site build. Currently unclaimed for every location. The local pack occupies the top three positions on the most commercially relevant results page in this market.</t>
  </si>
  <si>
    <t xml:space="preserve">In progress</t>
  </si>
  <si>
    <t xml:space="preserve">Analytics and search console properties provisioned</t>
  </si>
  <si>
    <t xml:space="preserve">Measurement of everything in this document</t>
  </si>
  <si>
    <t xml:space="preserve">Without search console there is no query data, no index coverage reporting and no way to verify the launch went cleanly.</t>
  </si>
  <si>
    <t xml:space="preserve">Decision on bodegajesymudanzas.com</t>
  </si>
  <si>
    <t xml:space="preserve">Migration plan</t>
  </si>
  <si>
    <t xml:space="preserve">Both domains are live with near-identical structure, the same services and the same contact number. Two live sites competing for the same queries split authority. Recommended: consolidate into storagebogota.com with page-for-page permanent redirects.</t>
  </si>
  <si>
    <t xml:space="preserve">Joint</t>
  </si>
  <si>
    <t xml:space="preserve">CRM endpoint specification for the quote form</t>
  </si>
  <si>
    <t xml:space="preserve">/cotizar/, /contacto/, calculator hand-off</t>
  </si>
  <si>
    <t xml:space="preserve">The qualifying form is the highest-value change in this specification. It needs a confirmed endpoint and field mapping before build.</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</si>
</sst>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16202B"/>
      <name val="Arial"/>
      <family val="0"/>
      <charset val="1"/>
    </font>
    <font>
      <sz val="10"/>
      <color rgb="FF5B6672"/>
      <name val="Arial"/>
      <family val="0"/>
      <charset val="1"/>
    </font>
    <font>
      <b val="true"/>
      <sz val="11"/>
      <color rgb="FFC2410C"/>
      <name val="Arial"/>
      <family val="0"/>
      <charset val="1"/>
    </font>
    <font>
      <sz val="10"/>
      <color rgb="FF16202B"/>
      <name val="Arial"/>
      <family val="0"/>
      <charset val="1"/>
    </font>
    <font>
      <b val="true"/>
      <sz val="10"/>
      <color rgb="FFFFFFFF"/>
      <name val="Arial"/>
      <family val="0"/>
      <charset val="1"/>
    </font>
    <font>
      <b val="true"/>
      <sz val="10"/>
      <color rgb="FF16202B"/>
      <name val="Arial"/>
      <family val="0"/>
      <charset val="1"/>
    </font>
    <font>
      <sz val="9"/>
      <color rgb="FF16202B"/>
      <name val="Arial"/>
      <family val="0"/>
      <charset val="1"/>
    </font>
    <font>
      <b val="true"/>
      <sz val="9"/>
      <color rgb="FF16202B"/>
      <name val="Arial"/>
      <family val="0"/>
      <charset val="1"/>
    </font>
    <font>
      <b val="true"/>
      <sz val="10"/>
      <color rgb="FFC2410C"/>
      <name val="Arial"/>
      <family val="0"/>
      <charset val="1"/>
    </font>
  </fonts>
  <fills count="7">
    <fill>
      <patternFill patternType="none"/>
    </fill>
    <fill>
      <patternFill patternType="gray125"/>
    </fill>
    <fill>
      <patternFill patternType="solid">
        <fgColor rgb="FF16202B"/>
        <bgColor rgb="FF003300"/>
      </patternFill>
    </fill>
    <fill>
      <patternFill patternType="solid">
        <fgColor rgb="FFFBD9C7"/>
        <bgColor rgb="FFFDEFD9"/>
      </patternFill>
    </fill>
    <fill>
      <patternFill patternType="solid">
        <fgColor rgb="FFEAF0E6"/>
        <bgColor rgb="FFFDEFD9"/>
      </patternFill>
    </fill>
    <fill>
      <patternFill patternType="solid">
        <fgColor rgb="FFFDEFD9"/>
        <bgColor rgb="FFEAF0E6"/>
      </patternFill>
    </fill>
    <fill>
      <patternFill patternType="solid">
        <fgColor rgb="FFFFF3B0"/>
        <bgColor rgb="FFFDEFD9"/>
      </patternFill>
    </fill>
  </fills>
  <borders count="2">
    <border diagonalUp="false" diagonalDown="false">
      <left/>
      <right/>
      <top/>
      <bottom/>
      <diagonal/>
    </border>
    <border diagonalUp="false" diagonalDown="false">
      <left style="thin">
        <color rgb="FFC9C2B4"/>
      </left>
      <right style="thin">
        <color rgb="FFC9C2B4"/>
      </right>
      <top style="thin">
        <color rgb="FFC9C2B4"/>
      </top>
      <bottom style="thin">
        <color rgb="FFC9C2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9" fillId="6"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2B4"/>
      <rgbColor rgb="FF808080"/>
      <rgbColor rgb="FF9999FF"/>
      <rgbColor rgb="FF993366"/>
      <rgbColor rgb="FFFDEFD9"/>
      <rgbColor rgb="FFEAF0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3B0"/>
      <rgbColor rgb="FF99CCFF"/>
      <rgbColor rgb="FFFF99CC"/>
      <rgbColor rgb="FFCC99FF"/>
      <rgbColor rgb="FFFBD9C7"/>
      <rgbColor rgb="FF3366FF"/>
      <rgbColor rgb="FF33CCCC"/>
      <rgbColor rgb="FF99CC00"/>
      <rgbColor rgb="FFFFCC00"/>
      <rgbColor rgb="FFFF9900"/>
      <rgbColor rgb="FFFF6600"/>
      <rgbColor rgb="FF5B6672"/>
      <rgbColor rgb="FF969696"/>
      <rgbColor rgb="FF003366"/>
      <rgbColor rgb="FF339966"/>
      <rgbColor rgb="FF003300"/>
      <rgbColor rgb="FF333300"/>
      <rgbColor rgb="FFC2410C"/>
      <rgbColor rgb="FF993366"/>
      <rgbColor rgb="FF333399"/>
      <rgbColor rgb="FF1620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8"/>
  </cols>
  <sheetData>
    <row r="1" customFormat="false" ht="21.75"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B4" s="3" t="s">
        <v>2</v>
      </c>
    </row>
    <row r="5" customFormat="false" ht="42" hidden="false" customHeight="true" outlineLevel="0" collapsed="false">
      <c r="B5" s="4" t="s">
        <v>3</v>
      </c>
    </row>
    <row r="6" customFormat="false" ht="27.75" hidden="false" customHeight="true" outlineLevel="0" collapsed="false">
      <c r="B6" s="4" t="s">
        <v>4</v>
      </c>
    </row>
    <row r="8" customFormat="false" ht="15" hidden="false" customHeight="false" outlineLevel="0" collapsed="false">
      <c r="B8" s="3" t="s">
        <v>5</v>
      </c>
    </row>
    <row r="9" customFormat="false" ht="13.5" hidden="false" customHeight="true" outlineLevel="0" collapsed="false">
      <c r="B9" s="4" t="s">
        <v>6</v>
      </c>
    </row>
    <row r="10" customFormat="false" ht="27.75" hidden="false" customHeight="true" outlineLevel="0" collapsed="false">
      <c r="B10" s="4" t="s">
        <v>7</v>
      </c>
    </row>
    <row r="11" customFormat="false" ht="27.75" hidden="false" customHeight="true" outlineLevel="0" collapsed="false">
      <c r="B11" s="4" t="s">
        <v>8</v>
      </c>
    </row>
    <row r="12" customFormat="false" ht="27.75" hidden="false" customHeight="true" outlineLevel="0" collapsed="false">
      <c r="B12" s="4" t="s">
        <v>9</v>
      </c>
    </row>
    <row r="13" customFormat="false" ht="13.5" hidden="false" customHeight="true" outlineLevel="0" collapsed="false">
      <c r="B13" s="4" t="s">
        <v>10</v>
      </c>
    </row>
    <row r="14" customFormat="false" ht="13.5" hidden="false" customHeight="true" outlineLevel="0" collapsed="false">
      <c r="B14" s="4" t="s">
        <v>11</v>
      </c>
    </row>
    <row r="15" customFormat="false" ht="13.5" hidden="false" customHeight="true" outlineLevel="0" collapsed="false">
      <c r="B15" s="4" t="s">
        <v>12</v>
      </c>
    </row>
    <row r="17" customFormat="false" ht="15" hidden="false" customHeight="false" outlineLevel="0" collapsed="false">
      <c r="B17" s="3" t="s">
        <v>13</v>
      </c>
    </row>
    <row r="18" customFormat="false" ht="13.5" hidden="false" customHeight="true" outlineLevel="0" collapsed="false">
      <c r="B18" s="4" t="s">
        <v>14</v>
      </c>
    </row>
    <row r="19" customFormat="false" ht="13.5" hidden="false" customHeight="true" outlineLevel="0" collapsed="false">
      <c r="B19" s="4" t="s">
        <v>15</v>
      </c>
    </row>
    <row r="21" customFormat="false" ht="15" hidden="false" customHeight="false" outlineLevel="0" collapsed="false">
      <c r="B21" s="3" t="s">
        <v>16</v>
      </c>
    </row>
    <row r="22" customFormat="false" ht="42" hidden="false" customHeight="true" outlineLevel="0" collapsed="false">
      <c r="B22" s="4" t="s">
        <v>17</v>
      </c>
    </row>
    <row r="23" customFormat="false" ht="42" hidden="false" customHeight="true" outlineLevel="0" collapsed="false">
      <c r="B23" s="4" t="s">
        <v>18</v>
      </c>
    </row>
    <row r="25" customFormat="false" ht="15" hidden="false" customHeight="false" outlineLevel="0" collapsed="false">
      <c r="B25" s="3" t="s">
        <v>19</v>
      </c>
    </row>
    <row r="26" customFormat="false" ht="42" hidden="false" customHeight="true" outlineLevel="0" collapsed="false">
      <c r="B26" s="4"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40"/>
    <col collapsed="false" customWidth="true" hidden="false" outlineLevel="0" max="4" min="4" style="0" width="22"/>
    <col collapsed="false" customWidth="true" hidden="false" outlineLevel="0" max="5" min="5" style="0" width="34"/>
    <col collapsed="false" customWidth="true" hidden="false" outlineLevel="0" max="6" min="6" style="0" width="8"/>
  </cols>
  <sheetData>
    <row r="1" customFormat="false" ht="21.75" hidden="false" customHeight="true" outlineLevel="0" collapsed="false">
      <c r="A1" s="1" t="s">
        <v>21</v>
      </c>
    </row>
    <row r="2" customFormat="false" ht="15" hidden="false" customHeight="false" outlineLevel="0" collapsed="false">
      <c r="A2" s="2" t="s">
        <v>22</v>
      </c>
    </row>
    <row r="4" customFormat="false" ht="30" hidden="false" customHeight="true" outlineLevel="0" collapsed="false">
      <c r="A4" s="5" t="s">
        <v>23</v>
      </c>
      <c r="B4" s="5" t="s">
        <v>24</v>
      </c>
      <c r="C4" s="5" t="s">
        <v>25</v>
      </c>
      <c r="D4" s="5" t="s">
        <v>26</v>
      </c>
      <c r="E4" s="5" t="s">
        <v>27</v>
      </c>
      <c r="F4" s="5" t="s">
        <v>28</v>
      </c>
    </row>
    <row r="5" customFormat="false" ht="23.85" hidden="false" customHeight="false" outlineLevel="0" collapsed="false">
      <c r="A5" s="6" t="n">
        <v>0</v>
      </c>
      <c r="B5" s="7" t="s">
        <v>29</v>
      </c>
      <c r="C5" s="6" t="s">
        <v>30</v>
      </c>
      <c r="D5" s="6" t="s">
        <v>31</v>
      </c>
      <c r="E5" s="8" t="s">
        <v>32</v>
      </c>
      <c r="F5" s="6" t="s">
        <v>33</v>
      </c>
    </row>
    <row r="6" customFormat="false" ht="23.85" hidden="false" customHeight="false" outlineLevel="0" collapsed="false">
      <c r="A6" s="6" t="n">
        <v>1</v>
      </c>
      <c r="B6" s="7" t="s">
        <v>34</v>
      </c>
      <c r="C6" s="6" t="s">
        <v>35</v>
      </c>
      <c r="D6" s="6" t="s">
        <v>36</v>
      </c>
      <c r="E6" s="8" t="s">
        <v>37</v>
      </c>
      <c r="F6" s="6" t="s">
        <v>33</v>
      </c>
    </row>
    <row r="7" customFormat="false" ht="15" hidden="false" customHeight="false" outlineLevel="0" collapsed="false">
      <c r="A7" s="6" t="n">
        <v>2</v>
      </c>
      <c r="B7" s="6" t="s">
        <v>38</v>
      </c>
      <c r="C7" s="6" t="s">
        <v>39</v>
      </c>
      <c r="D7" s="6" t="s">
        <v>40</v>
      </c>
      <c r="E7" s="8" t="s">
        <v>41</v>
      </c>
      <c r="F7" s="6" t="s">
        <v>33</v>
      </c>
    </row>
    <row r="8" customFormat="false" ht="15" hidden="false" customHeight="false" outlineLevel="0" collapsed="false">
      <c r="A8" s="6" t="n">
        <v>2</v>
      </c>
      <c r="B8" s="6" t="s">
        <v>42</v>
      </c>
      <c r="C8" s="6" t="s">
        <v>43</v>
      </c>
      <c r="D8" s="6" t="s">
        <v>40</v>
      </c>
      <c r="E8" s="8" t="s">
        <v>44</v>
      </c>
      <c r="F8" s="6" t="s">
        <v>33</v>
      </c>
    </row>
    <row r="9" customFormat="false" ht="23.85" hidden="false" customHeight="false" outlineLevel="0" collapsed="false">
      <c r="A9" s="9" t="n">
        <v>2</v>
      </c>
      <c r="B9" s="9" t="s">
        <v>45</v>
      </c>
      <c r="C9" s="9" t="s">
        <v>46</v>
      </c>
      <c r="D9" s="9" t="s">
        <v>40</v>
      </c>
      <c r="E9" s="10" t="s">
        <v>47</v>
      </c>
      <c r="F9" s="9" t="s">
        <v>48</v>
      </c>
    </row>
    <row r="10" customFormat="false" ht="15" hidden="false" customHeight="false" outlineLevel="0" collapsed="false">
      <c r="A10" s="9" t="n">
        <v>2</v>
      </c>
      <c r="B10" s="9" t="s">
        <v>49</v>
      </c>
      <c r="C10" s="9" t="s">
        <v>50</v>
      </c>
      <c r="D10" s="9" t="s">
        <v>40</v>
      </c>
      <c r="E10" s="10" t="s">
        <v>51</v>
      </c>
      <c r="F10" s="9" t="s">
        <v>48</v>
      </c>
    </row>
    <row r="11" customFormat="false" ht="15" hidden="false" customHeight="false" outlineLevel="0" collapsed="false">
      <c r="A11" s="9" t="n">
        <v>2</v>
      </c>
      <c r="B11" s="9" t="s">
        <v>52</v>
      </c>
      <c r="C11" s="9" t="s">
        <v>53</v>
      </c>
      <c r="D11" s="9" t="s">
        <v>40</v>
      </c>
      <c r="E11" s="10" t="s">
        <v>54</v>
      </c>
      <c r="F11" s="9" t="s">
        <v>48</v>
      </c>
    </row>
    <row r="12" customFormat="false" ht="23.85" hidden="false" customHeight="false" outlineLevel="0" collapsed="false">
      <c r="A12" s="11" t="n">
        <v>2</v>
      </c>
      <c r="B12" s="11" t="s">
        <v>55</v>
      </c>
      <c r="C12" s="11" t="s">
        <v>56</v>
      </c>
      <c r="D12" s="11" t="s">
        <v>57</v>
      </c>
      <c r="E12" s="12" t="s">
        <v>58</v>
      </c>
      <c r="F12" s="11" t="s">
        <v>59</v>
      </c>
    </row>
    <row r="13" customFormat="false" ht="15" hidden="false" customHeight="false" outlineLevel="0" collapsed="false">
      <c r="A13" s="11" t="n">
        <v>2</v>
      </c>
      <c r="B13" s="11" t="s">
        <v>60</v>
      </c>
      <c r="C13" s="11" t="s">
        <v>61</v>
      </c>
      <c r="D13" s="11" t="s">
        <v>57</v>
      </c>
      <c r="E13" s="12" t="s">
        <v>62</v>
      </c>
      <c r="F13" s="11" t="s">
        <v>59</v>
      </c>
    </row>
    <row r="14" customFormat="false" ht="15" hidden="false" customHeight="false" outlineLevel="0" collapsed="false">
      <c r="A14" s="11" t="n">
        <v>2</v>
      </c>
      <c r="B14" s="11" t="s">
        <v>63</v>
      </c>
      <c r="C14" s="11" t="s">
        <v>64</v>
      </c>
      <c r="D14" s="11" t="s">
        <v>57</v>
      </c>
      <c r="E14" s="12" t="s">
        <v>62</v>
      </c>
      <c r="F14" s="11" t="s">
        <v>59</v>
      </c>
    </row>
    <row r="15" customFormat="false" ht="23.85" hidden="false" customHeight="false" outlineLevel="0" collapsed="false">
      <c r="A15" s="11" t="n">
        <v>2</v>
      </c>
      <c r="B15" s="11" t="s">
        <v>65</v>
      </c>
      <c r="C15" s="11" t="s">
        <v>66</v>
      </c>
      <c r="D15" s="11" t="s">
        <v>57</v>
      </c>
      <c r="E15" s="12" t="s">
        <v>67</v>
      </c>
      <c r="F15" s="11" t="s">
        <v>59</v>
      </c>
    </row>
    <row r="16" customFormat="false" ht="15" hidden="false" customHeight="false" outlineLevel="0" collapsed="false">
      <c r="A16" s="6" t="n">
        <v>2</v>
      </c>
      <c r="B16" s="6" t="s">
        <v>68</v>
      </c>
      <c r="C16" s="6" t="s">
        <v>69</v>
      </c>
      <c r="D16" s="6" t="s">
        <v>70</v>
      </c>
      <c r="E16" s="8" t="s">
        <v>71</v>
      </c>
      <c r="F16" s="6" t="s">
        <v>33</v>
      </c>
    </row>
    <row r="17" customFormat="false" ht="23.85" hidden="false" customHeight="false" outlineLevel="0" collapsed="false">
      <c r="A17" s="6" t="n">
        <v>3</v>
      </c>
      <c r="B17" s="6" t="s">
        <v>72</v>
      </c>
      <c r="C17" s="6" t="s">
        <v>73</v>
      </c>
      <c r="D17" s="6" t="s">
        <v>70</v>
      </c>
      <c r="E17" s="8" t="s">
        <v>74</v>
      </c>
      <c r="F17" s="6" t="s">
        <v>33</v>
      </c>
    </row>
    <row r="18" customFormat="false" ht="15" hidden="false" customHeight="false" outlineLevel="0" collapsed="false">
      <c r="A18" s="6" t="n">
        <v>3</v>
      </c>
      <c r="B18" s="6" t="s">
        <v>75</v>
      </c>
      <c r="C18" s="6" t="s">
        <v>76</v>
      </c>
      <c r="D18" s="6" t="s">
        <v>70</v>
      </c>
      <c r="E18" s="8" t="s">
        <v>77</v>
      </c>
      <c r="F18" s="6" t="s">
        <v>33</v>
      </c>
    </row>
    <row r="19" customFormat="false" ht="15" hidden="false" customHeight="false" outlineLevel="0" collapsed="false">
      <c r="A19" s="6" t="n">
        <v>3</v>
      </c>
      <c r="B19" s="6" t="s">
        <v>78</v>
      </c>
      <c r="C19" s="6" t="s">
        <v>79</v>
      </c>
      <c r="D19" s="6" t="s">
        <v>70</v>
      </c>
      <c r="E19" s="8" t="s">
        <v>80</v>
      </c>
      <c r="F19" s="6" t="s">
        <v>33</v>
      </c>
    </row>
    <row r="20" customFormat="false" ht="23.85" hidden="false" customHeight="false" outlineLevel="0" collapsed="false">
      <c r="A20" s="6" t="n">
        <v>3</v>
      </c>
      <c r="B20" s="6" t="s">
        <v>81</v>
      </c>
      <c r="C20" s="6" t="s">
        <v>82</v>
      </c>
      <c r="D20" s="6" t="s">
        <v>70</v>
      </c>
      <c r="E20" s="8" t="s">
        <v>83</v>
      </c>
      <c r="F20" s="6" t="s">
        <v>33</v>
      </c>
    </row>
    <row r="21" customFormat="false" ht="23.85" hidden="false" customHeight="false" outlineLevel="0" collapsed="false">
      <c r="A21" s="6" t="n">
        <v>1</v>
      </c>
      <c r="B21" s="7" t="s">
        <v>84</v>
      </c>
      <c r="C21" s="6" t="s">
        <v>85</v>
      </c>
      <c r="D21" s="6" t="s">
        <v>86</v>
      </c>
      <c r="E21" s="8" t="s">
        <v>87</v>
      </c>
      <c r="F21" s="6" t="s">
        <v>33</v>
      </c>
    </row>
    <row r="22" customFormat="false" ht="23.85" hidden="false" customHeight="false" outlineLevel="0" collapsed="false">
      <c r="A22" s="6" t="n">
        <v>2</v>
      </c>
      <c r="B22" s="6" t="s">
        <v>88</v>
      </c>
      <c r="C22" s="6" t="s">
        <v>89</v>
      </c>
      <c r="D22" s="6" t="s">
        <v>86</v>
      </c>
      <c r="E22" s="8" t="s">
        <v>90</v>
      </c>
      <c r="F22" s="6" t="s">
        <v>33</v>
      </c>
    </row>
    <row r="23" customFormat="false" ht="23.85" hidden="false" customHeight="false" outlineLevel="0" collapsed="false">
      <c r="A23" s="11" t="n">
        <v>2</v>
      </c>
      <c r="B23" s="11" t="s">
        <v>91</v>
      </c>
      <c r="C23" s="11" t="s">
        <v>92</v>
      </c>
      <c r="D23" s="11" t="s">
        <v>86</v>
      </c>
      <c r="E23" s="12" t="s">
        <v>93</v>
      </c>
      <c r="F23" s="11" t="s">
        <v>59</v>
      </c>
    </row>
    <row r="24" customFormat="false" ht="15" hidden="false" customHeight="false" outlineLevel="0" collapsed="false">
      <c r="A24" s="9" t="n">
        <v>2</v>
      </c>
      <c r="B24" s="9" t="s">
        <v>94</v>
      </c>
      <c r="C24" s="9" t="s">
        <v>95</v>
      </c>
      <c r="D24" s="9" t="s">
        <v>86</v>
      </c>
      <c r="E24" s="10" t="s">
        <v>96</v>
      </c>
      <c r="F24" s="9" t="s">
        <v>48</v>
      </c>
    </row>
    <row r="25" customFormat="false" ht="15" hidden="false" customHeight="false" outlineLevel="0" collapsed="false">
      <c r="A25" s="11" t="n">
        <v>1</v>
      </c>
      <c r="B25" s="13" t="s">
        <v>97</v>
      </c>
      <c r="C25" s="11" t="s">
        <v>98</v>
      </c>
      <c r="D25" s="11" t="s">
        <v>99</v>
      </c>
      <c r="E25" s="12" t="s">
        <v>100</v>
      </c>
      <c r="F25" s="11" t="s">
        <v>59</v>
      </c>
    </row>
    <row r="26" customFormat="false" ht="15" hidden="false" customHeight="false" outlineLevel="0" collapsed="false">
      <c r="A26" s="11" t="n">
        <v>1</v>
      </c>
      <c r="B26" s="13" t="s">
        <v>101</v>
      </c>
      <c r="C26" s="11" t="s">
        <v>102</v>
      </c>
      <c r="D26" s="11" t="s">
        <v>99</v>
      </c>
      <c r="E26" s="12" t="s">
        <v>103</v>
      </c>
      <c r="F26" s="11" t="s">
        <v>59</v>
      </c>
    </row>
    <row r="27" customFormat="false" ht="15" hidden="false" customHeight="false" outlineLevel="0" collapsed="false">
      <c r="A27" s="9" t="n">
        <v>1</v>
      </c>
      <c r="B27" s="14" t="s">
        <v>104</v>
      </c>
      <c r="C27" s="9" t="s">
        <v>105</v>
      </c>
      <c r="D27" s="9" t="s">
        <v>99</v>
      </c>
      <c r="E27" s="10" t="s">
        <v>106</v>
      </c>
      <c r="F27" s="9" t="s">
        <v>48</v>
      </c>
    </row>
    <row r="28" customFormat="false" ht="23.85" hidden="false" customHeight="false" outlineLevel="0" collapsed="false">
      <c r="A28" s="6" t="n">
        <v>1</v>
      </c>
      <c r="B28" s="7" t="s">
        <v>107</v>
      </c>
      <c r="C28" s="6" t="s">
        <v>108</v>
      </c>
      <c r="D28" s="6" t="s">
        <v>109</v>
      </c>
      <c r="E28" s="8" t="s">
        <v>110</v>
      </c>
      <c r="F28" s="6" t="s">
        <v>33</v>
      </c>
    </row>
    <row r="29" customFormat="false" ht="15" hidden="false" customHeight="false" outlineLevel="0" collapsed="false">
      <c r="A29" s="6" t="n">
        <v>1</v>
      </c>
      <c r="B29" s="7" t="s">
        <v>111</v>
      </c>
      <c r="C29" s="6" t="s">
        <v>112</v>
      </c>
      <c r="D29" s="6" t="s">
        <v>109</v>
      </c>
      <c r="E29" s="8" t="s">
        <v>113</v>
      </c>
      <c r="F29" s="6" t="s">
        <v>33</v>
      </c>
    </row>
    <row r="30" customFormat="false" ht="23.85" hidden="false" customHeight="false" outlineLevel="0" collapsed="false">
      <c r="A30" s="6" t="n">
        <v>1</v>
      </c>
      <c r="B30" s="7" t="s">
        <v>114</v>
      </c>
      <c r="C30" s="6" t="s">
        <v>115</v>
      </c>
      <c r="D30" s="6" t="s">
        <v>109</v>
      </c>
      <c r="E30" s="8" t="s">
        <v>116</v>
      </c>
      <c r="F30" s="6" t="s">
        <v>33</v>
      </c>
    </row>
    <row r="31" customFormat="false" ht="23.85" hidden="false" customHeight="false" outlineLevel="0" collapsed="false">
      <c r="A31" s="6" t="n">
        <v>1</v>
      </c>
      <c r="B31" s="7" t="s">
        <v>117</v>
      </c>
      <c r="C31" s="6" t="s">
        <v>118</v>
      </c>
      <c r="D31" s="6" t="s">
        <v>109</v>
      </c>
      <c r="E31" s="8" t="s">
        <v>119</v>
      </c>
      <c r="F31" s="6" t="s">
        <v>33</v>
      </c>
    </row>
    <row r="32" customFormat="false" ht="15" hidden="false" customHeight="false" outlineLevel="0" collapsed="false">
      <c r="A32" s="6" t="n">
        <v>1</v>
      </c>
      <c r="B32" s="7" t="s">
        <v>120</v>
      </c>
      <c r="C32" s="6" t="s">
        <v>121</v>
      </c>
      <c r="D32" s="6" t="s">
        <v>109</v>
      </c>
      <c r="E32" s="8" t="s">
        <v>122</v>
      </c>
      <c r="F32" s="6" t="s">
        <v>33</v>
      </c>
    </row>
    <row r="33" customFormat="false" ht="23.85" hidden="false" customHeight="false" outlineLevel="0" collapsed="false">
      <c r="A33" s="6" t="n">
        <v>1</v>
      </c>
      <c r="B33" s="7" t="s">
        <v>123</v>
      </c>
      <c r="C33" s="6" t="s">
        <v>124</v>
      </c>
      <c r="D33" s="6" t="s">
        <v>109</v>
      </c>
      <c r="E33" s="8" t="s">
        <v>125</v>
      </c>
      <c r="F33" s="6" t="s">
        <v>33</v>
      </c>
    </row>
    <row r="34" customFormat="false" ht="15" hidden="false" customHeight="false" outlineLevel="0" collapsed="false">
      <c r="A34" s="6" t="n">
        <v>1</v>
      </c>
      <c r="B34" s="7" t="s">
        <v>126</v>
      </c>
      <c r="C34" s="6" t="s">
        <v>127</v>
      </c>
      <c r="D34" s="6" t="s">
        <v>109</v>
      </c>
      <c r="E34" s="8" t="s">
        <v>128</v>
      </c>
      <c r="F34" s="6" t="s">
        <v>33</v>
      </c>
    </row>
    <row r="35" customFormat="false" ht="23.85" hidden="false" customHeight="false" outlineLevel="0" collapsed="false">
      <c r="A35" s="11" t="n">
        <v>1</v>
      </c>
      <c r="B35" s="13" t="s">
        <v>129</v>
      </c>
      <c r="C35" s="11" t="s">
        <v>130</v>
      </c>
      <c r="D35" s="11" t="s">
        <v>109</v>
      </c>
      <c r="E35" s="12" t="s">
        <v>131</v>
      </c>
      <c r="F35" s="11" t="s">
        <v>59</v>
      </c>
    </row>
    <row r="36" customFormat="false" ht="15" hidden="false" customHeight="false" outlineLevel="0" collapsed="false">
      <c r="A36" s="11" t="n">
        <v>1</v>
      </c>
      <c r="B36" s="13" t="s">
        <v>132</v>
      </c>
      <c r="C36" s="11" t="s">
        <v>133</v>
      </c>
      <c r="D36" s="11" t="s">
        <v>134</v>
      </c>
      <c r="E36" s="12" t="s">
        <v>135</v>
      </c>
      <c r="F36" s="11" t="s">
        <v>59</v>
      </c>
    </row>
    <row r="37" customFormat="false" ht="23.85" hidden="false" customHeight="false" outlineLevel="0" collapsed="false">
      <c r="A37" s="6" t="n">
        <v>1</v>
      </c>
      <c r="B37" s="7" t="s">
        <v>136</v>
      </c>
      <c r="C37" s="6" t="s">
        <v>137</v>
      </c>
      <c r="D37" s="6" t="s">
        <v>138</v>
      </c>
      <c r="E37" s="8" t="s">
        <v>139</v>
      </c>
      <c r="F37" s="6" t="s">
        <v>33</v>
      </c>
    </row>
    <row r="38" customFormat="false" ht="23.85" hidden="false" customHeight="false" outlineLevel="0" collapsed="false">
      <c r="A38" s="6" t="n">
        <v>1</v>
      </c>
      <c r="B38" s="7" t="s">
        <v>140</v>
      </c>
      <c r="C38" s="6" t="s">
        <v>141</v>
      </c>
      <c r="D38" s="6" t="s">
        <v>138</v>
      </c>
      <c r="E38" s="8" t="s">
        <v>142</v>
      </c>
      <c r="F38" s="6" t="s">
        <v>33</v>
      </c>
    </row>
    <row r="40" customFormat="false" ht="15" hidden="false" customHeight="false" outlineLevel="0" collapsed="false">
      <c r="B40" s="15" t="s">
        <v>143</v>
      </c>
      <c r="C40" s="15" t="n">
        <f aca="false">COUNTA(C5:C38)</f>
        <v>34</v>
      </c>
    </row>
    <row r="41" customFormat="false" ht="15" hidden="false" customHeight="false" outlineLevel="0" collapsed="false">
      <c r="B41" s="16" t="s">
        <v>144</v>
      </c>
      <c r="C41" s="16" t="n">
        <f aca="false">COUNTIF(F5:F38,"1")</f>
        <v>20</v>
      </c>
    </row>
    <row r="42" customFormat="false" ht="15" hidden="false" customHeight="false" outlineLevel="0" collapsed="false">
      <c r="B42" s="16" t="s">
        <v>145</v>
      </c>
      <c r="C42" s="16" t="n">
        <f aca="false">COUNTIF(F5:F38,"2")</f>
        <v>9</v>
      </c>
    </row>
    <row r="43" customFormat="false" ht="15" hidden="false" customHeight="false" outlineLevel="0" collapsed="false">
      <c r="B43" s="16" t="s">
        <v>146</v>
      </c>
      <c r="C43" s="16" t="n">
        <f aca="false">COUNTIF(F5:F38,"3")</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34"/>
    <col collapsed="false" customWidth="true" hidden="false" outlineLevel="0" max="4" min="4" style="0" width="17"/>
    <col collapsed="false" customWidth="true" hidden="false" outlineLevel="0" max="5" min="5" style="0" width="26"/>
    <col collapsed="false" customWidth="true" hidden="false" outlineLevel="0" max="6" min="6" style="0" width="13"/>
    <col collapsed="false" customWidth="true" hidden="false" outlineLevel="0" max="7" min="7" style="0" width="44"/>
    <col collapsed="false" customWidth="true" hidden="false" outlineLevel="0" max="8" min="8" style="0" width="32"/>
    <col collapsed="false" customWidth="true" hidden="false" outlineLevel="0" max="9" min="9" style="0" width="48"/>
    <col collapsed="false" customWidth="true" hidden="false" outlineLevel="0" max="10" min="10" style="0" width="60"/>
    <col collapsed="false" customWidth="true" hidden="false" outlineLevel="0" max="11" min="11" style="0" width="32"/>
    <col collapsed="false" customWidth="true" hidden="false" outlineLevel="0" max="12" min="12" style="0" width="26"/>
    <col collapsed="false" customWidth="true" hidden="false" outlineLevel="0" max="14" min="13" style="0" width="24"/>
    <col collapsed="false" customWidth="true" hidden="false" outlineLevel="0" max="15" min="15" style="0" width="50"/>
  </cols>
  <sheetData>
    <row r="1" customFormat="false" ht="21.75" hidden="false" customHeight="true" outlineLevel="0" collapsed="false">
      <c r="A1" s="1" t="s">
        <v>147</v>
      </c>
    </row>
    <row r="2" customFormat="false" ht="15" hidden="false" customHeight="false" outlineLevel="0" collapsed="false">
      <c r="A2" s="2" t="s">
        <v>148</v>
      </c>
    </row>
    <row r="4" customFormat="false" ht="33.75" hidden="false" customHeight="true" outlineLevel="0" collapsed="false">
      <c r="A4" s="5" t="s">
        <v>28</v>
      </c>
      <c r="B4" s="5" t="s">
        <v>26</v>
      </c>
      <c r="C4" s="5" t="s">
        <v>25</v>
      </c>
      <c r="D4" s="5" t="s">
        <v>149</v>
      </c>
      <c r="E4" s="5" t="s">
        <v>150</v>
      </c>
      <c r="F4" s="5" t="s">
        <v>151</v>
      </c>
      <c r="G4" s="5" t="s">
        <v>152</v>
      </c>
      <c r="H4" s="5" t="s">
        <v>153</v>
      </c>
      <c r="I4" s="5" t="s">
        <v>154</v>
      </c>
      <c r="J4" s="5" t="s">
        <v>155</v>
      </c>
      <c r="K4" s="5" t="s">
        <v>156</v>
      </c>
      <c r="L4" s="5" t="s">
        <v>157</v>
      </c>
      <c r="M4" s="5" t="s">
        <v>158</v>
      </c>
      <c r="N4" s="5" t="s">
        <v>159</v>
      </c>
      <c r="O4" s="5" t="s">
        <v>160</v>
      </c>
    </row>
    <row r="5" customFormat="false" ht="96" hidden="false" customHeight="true" outlineLevel="0" collapsed="false">
      <c r="A5" s="17" t="s">
        <v>33</v>
      </c>
      <c r="B5" s="17" t="s">
        <v>31</v>
      </c>
      <c r="C5" s="18" t="s">
        <v>30</v>
      </c>
      <c r="D5" s="17" t="s">
        <v>161</v>
      </c>
      <c r="E5" s="17" t="s">
        <v>162</v>
      </c>
      <c r="F5" s="17" t="s">
        <v>163</v>
      </c>
      <c r="G5" s="17" t="s">
        <v>164</v>
      </c>
      <c r="H5" s="17" t="s">
        <v>165</v>
      </c>
      <c r="I5" s="17" t="s">
        <v>166</v>
      </c>
      <c r="J5" s="17" t="s">
        <v>167</v>
      </c>
      <c r="K5" s="17" t="s">
        <v>168</v>
      </c>
      <c r="L5" s="17" t="s">
        <v>31</v>
      </c>
      <c r="M5" s="17" t="s">
        <v>169</v>
      </c>
      <c r="N5" s="17" t="s">
        <v>170</v>
      </c>
      <c r="O5" s="17" t="s">
        <v>171</v>
      </c>
    </row>
    <row r="6" customFormat="false" ht="96" hidden="false" customHeight="true" outlineLevel="0" collapsed="false">
      <c r="A6" s="17" t="s">
        <v>33</v>
      </c>
      <c r="B6" s="17" t="s">
        <v>36</v>
      </c>
      <c r="C6" s="18" t="s">
        <v>35</v>
      </c>
      <c r="D6" s="17" t="s">
        <v>172</v>
      </c>
      <c r="E6" s="17" t="s">
        <v>173</v>
      </c>
      <c r="F6" s="17" t="s">
        <v>174</v>
      </c>
      <c r="G6" s="17" t="s">
        <v>175</v>
      </c>
      <c r="H6" s="17" t="s">
        <v>176</v>
      </c>
      <c r="I6" s="17" t="s">
        <v>177</v>
      </c>
      <c r="J6" s="17" t="s">
        <v>178</v>
      </c>
      <c r="K6" s="17" t="s">
        <v>179</v>
      </c>
      <c r="L6" s="17" t="s">
        <v>30</v>
      </c>
      <c r="M6" s="17" t="s">
        <v>180</v>
      </c>
      <c r="N6" s="17" t="s">
        <v>181</v>
      </c>
      <c r="O6" s="17" t="s">
        <v>182</v>
      </c>
    </row>
    <row r="7" customFormat="false" ht="96" hidden="false" customHeight="true" outlineLevel="0" collapsed="false">
      <c r="A7" s="17" t="s">
        <v>33</v>
      </c>
      <c r="B7" s="17" t="s">
        <v>40</v>
      </c>
      <c r="C7" s="18" t="s">
        <v>39</v>
      </c>
      <c r="D7" s="17" t="s">
        <v>183</v>
      </c>
      <c r="E7" s="17" t="s">
        <v>184</v>
      </c>
      <c r="F7" s="17" t="s">
        <v>185</v>
      </c>
      <c r="G7" s="17" t="s">
        <v>186</v>
      </c>
      <c r="H7" s="17" t="s">
        <v>187</v>
      </c>
      <c r="I7" s="17" t="s">
        <v>188</v>
      </c>
      <c r="J7" s="17" t="s">
        <v>189</v>
      </c>
      <c r="K7" s="17" t="s">
        <v>190</v>
      </c>
      <c r="L7" s="17" t="s">
        <v>35</v>
      </c>
      <c r="M7" s="17" t="s">
        <v>191</v>
      </c>
      <c r="N7" s="17" t="s">
        <v>181</v>
      </c>
      <c r="O7" s="17" t="s">
        <v>192</v>
      </c>
    </row>
    <row r="8" customFormat="false" ht="96" hidden="false" customHeight="true" outlineLevel="0" collapsed="false">
      <c r="A8" s="17" t="s">
        <v>33</v>
      </c>
      <c r="B8" s="17" t="s">
        <v>40</v>
      </c>
      <c r="C8" s="18" t="s">
        <v>43</v>
      </c>
      <c r="D8" s="17" t="s">
        <v>183</v>
      </c>
      <c r="E8" s="17" t="s">
        <v>193</v>
      </c>
      <c r="F8" s="17" t="s">
        <v>194</v>
      </c>
      <c r="G8" s="17" t="s">
        <v>195</v>
      </c>
      <c r="H8" s="17" t="s">
        <v>196</v>
      </c>
      <c r="I8" s="17" t="s">
        <v>197</v>
      </c>
      <c r="J8" s="17" t="s">
        <v>198</v>
      </c>
      <c r="K8" s="17" t="s">
        <v>199</v>
      </c>
      <c r="L8" s="17" t="s">
        <v>35</v>
      </c>
      <c r="M8" s="17" t="s">
        <v>191</v>
      </c>
      <c r="N8" s="17" t="s">
        <v>200</v>
      </c>
      <c r="O8" s="17" t="s">
        <v>201</v>
      </c>
    </row>
    <row r="9" customFormat="false" ht="96" hidden="false" customHeight="true" outlineLevel="0" collapsed="false">
      <c r="A9" s="17" t="s">
        <v>33</v>
      </c>
      <c r="B9" s="17" t="s">
        <v>70</v>
      </c>
      <c r="C9" s="18" t="s">
        <v>69</v>
      </c>
      <c r="D9" s="17" t="s">
        <v>202</v>
      </c>
      <c r="E9" s="17" t="s">
        <v>203</v>
      </c>
      <c r="F9" s="17" t="s">
        <v>204</v>
      </c>
      <c r="G9" s="17" t="s">
        <v>205</v>
      </c>
      <c r="H9" s="17" t="s">
        <v>206</v>
      </c>
      <c r="I9" s="17" t="s">
        <v>207</v>
      </c>
      <c r="J9" s="17" t="s">
        <v>208</v>
      </c>
      <c r="K9" s="17" t="s">
        <v>209</v>
      </c>
      <c r="L9" s="17" t="s">
        <v>210</v>
      </c>
      <c r="M9" s="17" t="s">
        <v>211</v>
      </c>
      <c r="N9" s="17" t="s">
        <v>212</v>
      </c>
      <c r="O9" s="17" t="s">
        <v>213</v>
      </c>
    </row>
    <row r="10" customFormat="false" ht="96" hidden="false" customHeight="true" outlineLevel="0" collapsed="false">
      <c r="A10" s="17" t="s">
        <v>33</v>
      </c>
      <c r="B10" s="17" t="s">
        <v>70</v>
      </c>
      <c r="C10" s="18" t="s">
        <v>73</v>
      </c>
      <c r="D10" s="17" t="s">
        <v>214</v>
      </c>
      <c r="E10" s="17" t="s">
        <v>215</v>
      </c>
      <c r="F10" s="17" t="s">
        <v>216</v>
      </c>
      <c r="G10" s="17" t="s">
        <v>217</v>
      </c>
      <c r="H10" s="17" t="s">
        <v>218</v>
      </c>
      <c r="I10" s="17" t="s">
        <v>219</v>
      </c>
      <c r="J10" s="17" t="s">
        <v>220</v>
      </c>
      <c r="K10" s="17" t="s">
        <v>221</v>
      </c>
      <c r="L10" s="17" t="s">
        <v>69</v>
      </c>
      <c r="M10" s="17" t="s">
        <v>222</v>
      </c>
      <c r="N10" s="17" t="s">
        <v>223</v>
      </c>
      <c r="O10" s="17" t="s">
        <v>224</v>
      </c>
    </row>
    <row r="11" customFormat="false" ht="96" hidden="false" customHeight="true" outlineLevel="0" collapsed="false">
      <c r="A11" s="17" t="s">
        <v>33</v>
      </c>
      <c r="B11" s="17" t="s">
        <v>70</v>
      </c>
      <c r="C11" s="18" t="s">
        <v>76</v>
      </c>
      <c r="D11" s="17" t="s">
        <v>214</v>
      </c>
      <c r="E11" s="17" t="s">
        <v>225</v>
      </c>
      <c r="F11" s="17" t="s">
        <v>216</v>
      </c>
      <c r="G11" s="17" t="s">
        <v>226</v>
      </c>
      <c r="H11" s="17" t="s">
        <v>227</v>
      </c>
      <c r="I11" s="17" t="s">
        <v>228</v>
      </c>
      <c r="J11" s="17" t="s">
        <v>229</v>
      </c>
      <c r="K11" s="17" t="s">
        <v>230</v>
      </c>
      <c r="L11" s="17" t="s">
        <v>69</v>
      </c>
      <c r="M11" s="17" t="s">
        <v>222</v>
      </c>
      <c r="N11" s="17" t="s">
        <v>223</v>
      </c>
      <c r="O11" s="17" t="s">
        <v>231</v>
      </c>
    </row>
    <row r="12" customFormat="false" ht="96" hidden="false" customHeight="true" outlineLevel="0" collapsed="false">
      <c r="A12" s="17" t="s">
        <v>33</v>
      </c>
      <c r="B12" s="17" t="s">
        <v>70</v>
      </c>
      <c r="C12" s="18" t="s">
        <v>79</v>
      </c>
      <c r="D12" s="17" t="s">
        <v>214</v>
      </c>
      <c r="E12" s="17" t="s">
        <v>232</v>
      </c>
      <c r="F12" s="17" t="s">
        <v>216</v>
      </c>
      <c r="G12" s="17" t="s">
        <v>233</v>
      </c>
      <c r="H12" s="17" t="s">
        <v>234</v>
      </c>
      <c r="I12" s="17" t="s">
        <v>235</v>
      </c>
      <c r="J12" s="17" t="s">
        <v>236</v>
      </c>
      <c r="K12" s="17" t="s">
        <v>230</v>
      </c>
      <c r="L12" s="17" t="s">
        <v>69</v>
      </c>
      <c r="M12" s="17" t="s">
        <v>222</v>
      </c>
      <c r="N12" s="17" t="s">
        <v>223</v>
      </c>
      <c r="O12" s="17" t="s">
        <v>237</v>
      </c>
    </row>
    <row r="13" customFormat="false" ht="96" hidden="false" customHeight="true" outlineLevel="0" collapsed="false">
      <c r="A13" s="17" t="s">
        <v>33</v>
      </c>
      <c r="B13" s="17" t="s">
        <v>70</v>
      </c>
      <c r="C13" s="18" t="s">
        <v>82</v>
      </c>
      <c r="D13" s="17" t="s">
        <v>214</v>
      </c>
      <c r="E13" s="17" t="s">
        <v>238</v>
      </c>
      <c r="F13" s="17" t="s">
        <v>216</v>
      </c>
      <c r="G13" s="17" t="s">
        <v>239</v>
      </c>
      <c r="H13" s="17" t="s">
        <v>240</v>
      </c>
      <c r="I13" s="17" t="s">
        <v>241</v>
      </c>
      <c r="J13" s="17" t="s">
        <v>242</v>
      </c>
      <c r="K13" s="17" t="s">
        <v>230</v>
      </c>
      <c r="L13" s="17" t="s">
        <v>69</v>
      </c>
      <c r="M13" s="17" t="s">
        <v>222</v>
      </c>
      <c r="N13" s="17" t="s">
        <v>223</v>
      </c>
      <c r="O13" s="17" t="s">
        <v>243</v>
      </c>
    </row>
    <row r="14" customFormat="false" ht="96" hidden="false" customHeight="true" outlineLevel="0" collapsed="false">
      <c r="A14" s="17" t="s">
        <v>33</v>
      </c>
      <c r="B14" s="17" t="s">
        <v>86</v>
      </c>
      <c r="C14" s="18" t="s">
        <v>85</v>
      </c>
      <c r="D14" s="17" t="s">
        <v>172</v>
      </c>
      <c r="E14" s="17" t="s">
        <v>244</v>
      </c>
      <c r="F14" s="17" t="s">
        <v>245</v>
      </c>
      <c r="G14" s="17" t="s">
        <v>246</v>
      </c>
      <c r="H14" s="17" t="s">
        <v>247</v>
      </c>
      <c r="I14" s="17" t="s">
        <v>248</v>
      </c>
      <c r="J14" s="17" t="s">
        <v>249</v>
      </c>
      <c r="K14" s="17" t="s">
        <v>250</v>
      </c>
      <c r="L14" s="17" t="s">
        <v>30</v>
      </c>
      <c r="M14" s="17" t="s">
        <v>180</v>
      </c>
      <c r="N14" s="17" t="s">
        <v>251</v>
      </c>
      <c r="O14" s="17" t="s">
        <v>252</v>
      </c>
    </row>
    <row r="15" customFormat="false" ht="96" hidden="false" customHeight="true" outlineLevel="0" collapsed="false">
      <c r="A15" s="17" t="s">
        <v>33</v>
      </c>
      <c r="B15" s="17" t="s">
        <v>86</v>
      </c>
      <c r="C15" s="18" t="s">
        <v>89</v>
      </c>
      <c r="D15" s="17" t="s">
        <v>183</v>
      </c>
      <c r="E15" s="17" t="s">
        <v>253</v>
      </c>
      <c r="F15" s="17" t="s">
        <v>254</v>
      </c>
      <c r="G15" s="17" t="s">
        <v>255</v>
      </c>
      <c r="H15" s="17" t="s">
        <v>256</v>
      </c>
      <c r="I15" s="17" t="s">
        <v>257</v>
      </c>
      <c r="J15" s="17" t="s">
        <v>258</v>
      </c>
      <c r="K15" s="17" t="s">
        <v>98</v>
      </c>
      <c r="L15" s="17" t="s">
        <v>85</v>
      </c>
      <c r="M15" s="17" t="s">
        <v>191</v>
      </c>
      <c r="N15" s="17" t="s">
        <v>259</v>
      </c>
      <c r="O15" s="17" t="s">
        <v>260</v>
      </c>
    </row>
    <row r="16" customFormat="false" ht="96" hidden="false" customHeight="true" outlineLevel="0" collapsed="false">
      <c r="A16" s="17" t="s">
        <v>33</v>
      </c>
      <c r="B16" s="17" t="s">
        <v>109</v>
      </c>
      <c r="C16" s="18" t="s">
        <v>115</v>
      </c>
      <c r="D16" s="17" t="s">
        <v>261</v>
      </c>
      <c r="E16" s="17" t="s">
        <v>262</v>
      </c>
      <c r="F16" s="17" t="s">
        <v>263</v>
      </c>
      <c r="G16" s="17" t="s">
        <v>264</v>
      </c>
      <c r="H16" s="17" t="s">
        <v>265</v>
      </c>
      <c r="I16" s="17" t="s">
        <v>266</v>
      </c>
      <c r="J16" s="17" t="s">
        <v>267</v>
      </c>
      <c r="K16" s="17" t="s">
        <v>268</v>
      </c>
      <c r="L16" s="17" t="s">
        <v>35</v>
      </c>
      <c r="M16" s="17" t="s">
        <v>269</v>
      </c>
      <c r="N16" s="17" t="s">
        <v>270</v>
      </c>
      <c r="O16" s="17" t="s">
        <v>271</v>
      </c>
    </row>
    <row r="17" customFormat="false" ht="96" hidden="false" customHeight="true" outlineLevel="0" collapsed="false">
      <c r="A17" s="17" t="s">
        <v>33</v>
      </c>
      <c r="B17" s="17" t="s">
        <v>109</v>
      </c>
      <c r="C17" s="18" t="s">
        <v>118</v>
      </c>
      <c r="D17" s="17" t="s">
        <v>261</v>
      </c>
      <c r="E17" s="17" t="s">
        <v>272</v>
      </c>
      <c r="F17" s="17" t="s">
        <v>273</v>
      </c>
      <c r="G17" s="17" t="s">
        <v>274</v>
      </c>
      <c r="H17" s="17" t="s">
        <v>275</v>
      </c>
      <c r="I17" s="17" t="s">
        <v>276</v>
      </c>
      <c r="J17" s="17" t="s">
        <v>277</v>
      </c>
      <c r="K17" s="17" t="s">
        <v>278</v>
      </c>
      <c r="L17" s="17" t="s">
        <v>30</v>
      </c>
      <c r="M17" s="17" t="s">
        <v>269</v>
      </c>
      <c r="N17" s="17" t="s">
        <v>279</v>
      </c>
      <c r="O17" s="17" t="s">
        <v>280</v>
      </c>
    </row>
    <row r="18" customFormat="false" ht="96" hidden="false" customHeight="true" outlineLevel="0" collapsed="false">
      <c r="A18" s="17" t="s">
        <v>33</v>
      </c>
      <c r="B18" s="17" t="s">
        <v>109</v>
      </c>
      <c r="C18" s="18" t="s">
        <v>112</v>
      </c>
      <c r="D18" s="17" t="s">
        <v>261</v>
      </c>
      <c r="E18" s="17" t="s">
        <v>281</v>
      </c>
      <c r="F18" s="17" t="s">
        <v>216</v>
      </c>
      <c r="G18" s="17" t="s">
        <v>282</v>
      </c>
      <c r="H18" s="17" t="s">
        <v>283</v>
      </c>
      <c r="I18" s="17" t="s">
        <v>284</v>
      </c>
      <c r="J18" s="17" t="s">
        <v>285</v>
      </c>
      <c r="K18" s="17" t="s">
        <v>286</v>
      </c>
      <c r="L18" s="17" t="s">
        <v>35</v>
      </c>
      <c r="M18" s="17" t="s">
        <v>287</v>
      </c>
      <c r="N18" s="17" t="s">
        <v>223</v>
      </c>
      <c r="O18" s="17" t="s">
        <v>288</v>
      </c>
    </row>
    <row r="19" customFormat="false" ht="96" hidden="false" customHeight="true" outlineLevel="0" collapsed="false">
      <c r="A19" s="17" t="s">
        <v>33</v>
      </c>
      <c r="B19" s="17" t="s">
        <v>109</v>
      </c>
      <c r="C19" s="18" t="s">
        <v>108</v>
      </c>
      <c r="D19" s="17" t="s">
        <v>261</v>
      </c>
      <c r="E19" s="17" t="s">
        <v>289</v>
      </c>
      <c r="F19" s="17" t="s">
        <v>290</v>
      </c>
      <c r="G19" s="17" t="s">
        <v>291</v>
      </c>
      <c r="H19" s="17" t="s">
        <v>292</v>
      </c>
      <c r="I19" s="17" t="s">
        <v>293</v>
      </c>
      <c r="J19" s="17" t="s">
        <v>294</v>
      </c>
      <c r="K19" s="17" t="s">
        <v>295</v>
      </c>
      <c r="L19" s="17" t="s">
        <v>30</v>
      </c>
      <c r="M19" s="17" t="s">
        <v>296</v>
      </c>
      <c r="N19" s="17" t="s">
        <v>279</v>
      </c>
      <c r="O19" s="17" t="s">
        <v>297</v>
      </c>
    </row>
    <row r="20" customFormat="false" ht="96" hidden="false" customHeight="true" outlineLevel="0" collapsed="false">
      <c r="A20" s="17" t="s">
        <v>33</v>
      </c>
      <c r="B20" s="17" t="s">
        <v>109</v>
      </c>
      <c r="C20" s="18" t="s">
        <v>121</v>
      </c>
      <c r="D20" s="17" t="s">
        <v>261</v>
      </c>
      <c r="E20" s="17" t="s">
        <v>298</v>
      </c>
      <c r="F20" s="17" t="s">
        <v>290</v>
      </c>
      <c r="G20" s="17" t="s">
        <v>299</v>
      </c>
      <c r="H20" s="17" t="s">
        <v>300</v>
      </c>
      <c r="I20" s="17" t="s">
        <v>301</v>
      </c>
      <c r="J20" s="17" t="s">
        <v>302</v>
      </c>
      <c r="K20" s="17" t="s">
        <v>69</v>
      </c>
      <c r="L20" s="17" t="s">
        <v>30</v>
      </c>
      <c r="M20" s="17" t="s">
        <v>303</v>
      </c>
      <c r="N20" s="17" t="s">
        <v>304</v>
      </c>
      <c r="O20" s="17" t="s">
        <v>305</v>
      </c>
    </row>
    <row r="21" customFormat="false" ht="96" hidden="false" customHeight="true" outlineLevel="0" collapsed="false">
      <c r="A21" s="17" t="s">
        <v>33</v>
      </c>
      <c r="B21" s="17" t="s">
        <v>138</v>
      </c>
      <c r="C21" s="18" t="s">
        <v>137</v>
      </c>
      <c r="D21" s="17" t="s">
        <v>306</v>
      </c>
      <c r="E21" s="17" t="s">
        <v>307</v>
      </c>
      <c r="F21" s="17" t="s">
        <v>216</v>
      </c>
      <c r="G21" s="17" t="s">
        <v>308</v>
      </c>
      <c r="H21" s="17" t="s">
        <v>309</v>
      </c>
      <c r="I21" s="17" t="s">
        <v>310</v>
      </c>
      <c r="J21" s="17" t="s">
        <v>311</v>
      </c>
      <c r="K21" s="17" t="s">
        <v>312</v>
      </c>
      <c r="L21" s="17" t="s">
        <v>210</v>
      </c>
      <c r="M21" s="17" t="s">
        <v>313</v>
      </c>
      <c r="N21" s="17" t="s">
        <v>314</v>
      </c>
      <c r="O21" s="17" t="s">
        <v>315</v>
      </c>
    </row>
    <row r="22" customFormat="false" ht="96" hidden="false" customHeight="true" outlineLevel="0" collapsed="false">
      <c r="A22" s="17" t="s">
        <v>33</v>
      </c>
      <c r="B22" s="17" t="s">
        <v>138</v>
      </c>
      <c r="C22" s="18" t="s">
        <v>141</v>
      </c>
      <c r="D22" s="17" t="s">
        <v>306</v>
      </c>
      <c r="E22" s="17" t="s">
        <v>316</v>
      </c>
      <c r="F22" s="17" t="s">
        <v>216</v>
      </c>
      <c r="G22" s="17" t="s">
        <v>317</v>
      </c>
      <c r="H22" s="17" t="s">
        <v>318</v>
      </c>
      <c r="I22" s="17" t="s">
        <v>319</v>
      </c>
      <c r="J22" s="17" t="s">
        <v>320</v>
      </c>
      <c r="K22" s="17" t="s">
        <v>31</v>
      </c>
      <c r="L22" s="17" t="s">
        <v>321</v>
      </c>
      <c r="M22" s="17" t="s">
        <v>322</v>
      </c>
      <c r="N22" s="17" t="s">
        <v>323</v>
      </c>
      <c r="O22" s="17" t="s">
        <v>324</v>
      </c>
    </row>
    <row r="23" customFormat="false" ht="96" hidden="false" customHeight="true" outlineLevel="0" collapsed="false">
      <c r="A23" s="17" t="s">
        <v>33</v>
      </c>
      <c r="B23" s="17" t="s">
        <v>109</v>
      </c>
      <c r="C23" s="18" t="s">
        <v>124</v>
      </c>
      <c r="D23" s="17" t="s">
        <v>261</v>
      </c>
      <c r="E23" s="17" t="s">
        <v>31</v>
      </c>
      <c r="F23" s="17" t="s">
        <v>273</v>
      </c>
      <c r="G23" s="17" t="s">
        <v>325</v>
      </c>
      <c r="H23" s="17" t="s">
        <v>326</v>
      </c>
      <c r="I23" s="17" t="s">
        <v>327</v>
      </c>
      <c r="J23" s="17" t="s">
        <v>328</v>
      </c>
      <c r="K23" s="17" t="s">
        <v>31</v>
      </c>
      <c r="L23" s="17" t="s">
        <v>329</v>
      </c>
      <c r="M23" s="17" t="s">
        <v>322</v>
      </c>
      <c r="N23" s="17" t="s">
        <v>31</v>
      </c>
      <c r="O23" s="17" t="s">
        <v>330</v>
      </c>
    </row>
    <row r="24" customFormat="false" ht="96" hidden="false" customHeight="true" outlineLevel="0" collapsed="false">
      <c r="A24" s="17" t="s">
        <v>33</v>
      </c>
      <c r="B24" s="17" t="s">
        <v>109</v>
      </c>
      <c r="C24" s="18" t="s">
        <v>127</v>
      </c>
      <c r="D24" s="17" t="s">
        <v>261</v>
      </c>
      <c r="E24" s="17" t="s">
        <v>31</v>
      </c>
      <c r="F24" s="17" t="s">
        <v>273</v>
      </c>
      <c r="G24" s="17" t="s">
        <v>331</v>
      </c>
      <c r="H24" s="17" t="s">
        <v>332</v>
      </c>
      <c r="I24" s="17" t="s">
        <v>333</v>
      </c>
      <c r="J24" s="17" t="s">
        <v>334</v>
      </c>
      <c r="K24" s="17" t="s">
        <v>31</v>
      </c>
      <c r="L24" s="17" t="s">
        <v>329</v>
      </c>
      <c r="M24" s="17" t="s">
        <v>322</v>
      </c>
      <c r="N24" s="17" t="s">
        <v>31</v>
      </c>
      <c r="O24" s="17" t="s">
        <v>335</v>
      </c>
    </row>
    <row r="25" customFormat="false" ht="96" hidden="false" customHeight="true" outlineLevel="0" collapsed="false">
      <c r="A25" s="19" t="s">
        <v>59</v>
      </c>
      <c r="B25" s="19" t="s">
        <v>57</v>
      </c>
      <c r="C25" s="20" t="s">
        <v>56</v>
      </c>
      <c r="D25" s="19" t="s">
        <v>336</v>
      </c>
      <c r="E25" s="19" t="s">
        <v>337</v>
      </c>
      <c r="F25" s="19" t="s">
        <v>263</v>
      </c>
      <c r="G25" s="19" t="s">
        <v>338</v>
      </c>
      <c r="H25" s="19" t="s">
        <v>339</v>
      </c>
      <c r="I25" s="19" t="s">
        <v>340</v>
      </c>
      <c r="J25" s="19" t="s">
        <v>341</v>
      </c>
      <c r="K25" s="19" t="s">
        <v>69</v>
      </c>
      <c r="L25" s="19" t="s">
        <v>35</v>
      </c>
      <c r="M25" s="19" t="s">
        <v>342</v>
      </c>
      <c r="N25" s="19" t="s">
        <v>270</v>
      </c>
      <c r="O25" s="19" t="s">
        <v>343</v>
      </c>
    </row>
    <row r="26" customFormat="false" ht="96" hidden="false" customHeight="true" outlineLevel="0" collapsed="false">
      <c r="A26" s="19" t="s">
        <v>59</v>
      </c>
      <c r="B26" s="19" t="s">
        <v>57</v>
      </c>
      <c r="C26" s="20" t="s">
        <v>61</v>
      </c>
      <c r="D26" s="19" t="s">
        <v>336</v>
      </c>
      <c r="E26" s="19" t="s">
        <v>344</v>
      </c>
      <c r="F26" s="19" t="s">
        <v>263</v>
      </c>
      <c r="G26" s="19" t="s">
        <v>345</v>
      </c>
      <c r="H26" s="19" t="s">
        <v>346</v>
      </c>
      <c r="I26" s="19" t="s">
        <v>347</v>
      </c>
      <c r="J26" s="19" t="s">
        <v>348</v>
      </c>
      <c r="K26" s="19" t="s">
        <v>69</v>
      </c>
      <c r="L26" s="19" t="s">
        <v>35</v>
      </c>
      <c r="M26" s="19" t="s">
        <v>342</v>
      </c>
      <c r="N26" s="19" t="s">
        <v>270</v>
      </c>
      <c r="O26" s="19" t="s">
        <v>349</v>
      </c>
    </row>
    <row r="27" customFormat="false" ht="96" hidden="false" customHeight="true" outlineLevel="0" collapsed="false">
      <c r="A27" s="19" t="s">
        <v>59</v>
      </c>
      <c r="B27" s="19" t="s">
        <v>57</v>
      </c>
      <c r="C27" s="20" t="s">
        <v>64</v>
      </c>
      <c r="D27" s="19" t="s">
        <v>336</v>
      </c>
      <c r="E27" s="19" t="s">
        <v>350</v>
      </c>
      <c r="F27" s="19" t="s">
        <v>263</v>
      </c>
      <c r="G27" s="19" t="s">
        <v>351</v>
      </c>
      <c r="H27" s="19" t="s">
        <v>352</v>
      </c>
      <c r="I27" s="19" t="s">
        <v>353</v>
      </c>
      <c r="J27" s="19" t="s">
        <v>354</v>
      </c>
      <c r="K27" s="19" t="s">
        <v>355</v>
      </c>
      <c r="L27" s="19" t="s">
        <v>35</v>
      </c>
      <c r="M27" s="19" t="s">
        <v>342</v>
      </c>
      <c r="N27" s="19" t="s">
        <v>270</v>
      </c>
      <c r="O27" s="19" t="s">
        <v>349</v>
      </c>
    </row>
    <row r="28" customFormat="false" ht="96" hidden="false" customHeight="true" outlineLevel="0" collapsed="false">
      <c r="A28" s="19" t="s">
        <v>59</v>
      </c>
      <c r="B28" s="19" t="s">
        <v>57</v>
      </c>
      <c r="C28" s="20" t="s">
        <v>66</v>
      </c>
      <c r="D28" s="19" t="s">
        <v>336</v>
      </c>
      <c r="E28" s="19" t="s">
        <v>356</v>
      </c>
      <c r="F28" s="19" t="s">
        <v>216</v>
      </c>
      <c r="G28" s="19" t="s">
        <v>357</v>
      </c>
      <c r="H28" s="19" t="s">
        <v>358</v>
      </c>
      <c r="I28" s="19" t="s">
        <v>359</v>
      </c>
      <c r="J28" s="19" t="s">
        <v>360</v>
      </c>
      <c r="K28" s="19" t="s">
        <v>43</v>
      </c>
      <c r="L28" s="19" t="s">
        <v>35</v>
      </c>
      <c r="M28" s="19" t="s">
        <v>191</v>
      </c>
      <c r="N28" s="19" t="s">
        <v>200</v>
      </c>
      <c r="O28" s="19" t="s">
        <v>361</v>
      </c>
    </row>
    <row r="29" customFormat="false" ht="96" hidden="false" customHeight="true" outlineLevel="0" collapsed="false">
      <c r="A29" s="19" t="s">
        <v>59</v>
      </c>
      <c r="B29" s="19" t="s">
        <v>86</v>
      </c>
      <c r="C29" s="20" t="s">
        <v>92</v>
      </c>
      <c r="D29" s="19" t="s">
        <v>183</v>
      </c>
      <c r="E29" s="19" t="s">
        <v>362</v>
      </c>
      <c r="F29" s="19" t="s">
        <v>216</v>
      </c>
      <c r="G29" s="19" t="s">
        <v>363</v>
      </c>
      <c r="H29" s="19" t="s">
        <v>364</v>
      </c>
      <c r="I29" s="19" t="s">
        <v>365</v>
      </c>
      <c r="J29" s="19" t="s">
        <v>366</v>
      </c>
      <c r="K29" s="19" t="s">
        <v>43</v>
      </c>
      <c r="L29" s="19" t="s">
        <v>85</v>
      </c>
      <c r="M29" s="19" t="s">
        <v>191</v>
      </c>
      <c r="N29" s="19" t="s">
        <v>367</v>
      </c>
      <c r="O29" s="19" t="s">
        <v>368</v>
      </c>
    </row>
    <row r="30" customFormat="false" ht="96" hidden="false" customHeight="true" outlineLevel="0" collapsed="false">
      <c r="A30" s="19" t="s">
        <v>59</v>
      </c>
      <c r="B30" s="19" t="s">
        <v>99</v>
      </c>
      <c r="C30" s="20" t="s">
        <v>98</v>
      </c>
      <c r="D30" s="19" t="s">
        <v>261</v>
      </c>
      <c r="E30" s="19" t="s">
        <v>369</v>
      </c>
      <c r="F30" s="19" t="s">
        <v>216</v>
      </c>
      <c r="G30" s="19" t="s">
        <v>370</v>
      </c>
      <c r="H30" s="19" t="s">
        <v>371</v>
      </c>
      <c r="I30" s="19" t="s">
        <v>372</v>
      </c>
      <c r="J30" s="19" t="s">
        <v>373</v>
      </c>
      <c r="K30" s="19" t="s">
        <v>133</v>
      </c>
      <c r="L30" s="19" t="s">
        <v>374</v>
      </c>
      <c r="M30" s="19" t="s">
        <v>191</v>
      </c>
      <c r="N30" s="19" t="s">
        <v>270</v>
      </c>
      <c r="O30" s="19" t="s">
        <v>375</v>
      </c>
    </row>
    <row r="31" customFormat="false" ht="96" hidden="false" customHeight="true" outlineLevel="0" collapsed="false">
      <c r="A31" s="19" t="s">
        <v>59</v>
      </c>
      <c r="B31" s="19" t="s">
        <v>99</v>
      </c>
      <c r="C31" s="20" t="s">
        <v>102</v>
      </c>
      <c r="D31" s="19" t="s">
        <v>261</v>
      </c>
      <c r="E31" s="19" t="s">
        <v>376</v>
      </c>
      <c r="F31" s="19" t="s">
        <v>216</v>
      </c>
      <c r="G31" s="19" t="s">
        <v>377</v>
      </c>
      <c r="H31" s="19" t="s">
        <v>378</v>
      </c>
      <c r="I31" s="19" t="s">
        <v>379</v>
      </c>
      <c r="J31" s="19" t="s">
        <v>380</v>
      </c>
      <c r="K31" s="19" t="s">
        <v>31</v>
      </c>
      <c r="L31" s="19" t="s">
        <v>381</v>
      </c>
      <c r="M31" s="19" t="s">
        <v>191</v>
      </c>
      <c r="N31" s="19" t="s">
        <v>382</v>
      </c>
      <c r="O31" s="19" t="s">
        <v>383</v>
      </c>
    </row>
    <row r="32" customFormat="false" ht="96" hidden="false" customHeight="true" outlineLevel="0" collapsed="false">
      <c r="A32" s="19" t="s">
        <v>59</v>
      </c>
      <c r="B32" s="19" t="s">
        <v>109</v>
      </c>
      <c r="C32" s="20" t="s">
        <v>130</v>
      </c>
      <c r="D32" s="19" t="s">
        <v>261</v>
      </c>
      <c r="E32" s="19" t="s">
        <v>31</v>
      </c>
      <c r="F32" s="19" t="s">
        <v>273</v>
      </c>
      <c r="G32" s="19" t="s">
        <v>384</v>
      </c>
      <c r="H32" s="19" t="s">
        <v>385</v>
      </c>
      <c r="I32" s="19" t="s">
        <v>386</v>
      </c>
      <c r="J32" s="19" t="s">
        <v>387</v>
      </c>
      <c r="K32" s="19" t="s">
        <v>31</v>
      </c>
      <c r="L32" s="19" t="s">
        <v>329</v>
      </c>
      <c r="M32" s="19" t="s">
        <v>388</v>
      </c>
      <c r="N32" s="19" t="s">
        <v>389</v>
      </c>
      <c r="O32" s="19" t="s">
        <v>390</v>
      </c>
    </row>
    <row r="33" customFormat="false" ht="96" hidden="false" customHeight="true" outlineLevel="0" collapsed="false">
      <c r="A33" s="19" t="s">
        <v>59</v>
      </c>
      <c r="B33" s="19" t="s">
        <v>134</v>
      </c>
      <c r="C33" s="20" t="s">
        <v>133</v>
      </c>
      <c r="D33" s="19" t="s">
        <v>391</v>
      </c>
      <c r="E33" s="19" t="s">
        <v>392</v>
      </c>
      <c r="F33" s="19" t="s">
        <v>273</v>
      </c>
      <c r="G33" s="19" t="s">
        <v>393</v>
      </c>
      <c r="H33" s="19" t="s">
        <v>394</v>
      </c>
      <c r="I33" s="19" t="s">
        <v>395</v>
      </c>
      <c r="J33" s="19" t="s">
        <v>396</v>
      </c>
      <c r="K33" s="19" t="s">
        <v>397</v>
      </c>
      <c r="L33" s="19" t="s">
        <v>30</v>
      </c>
      <c r="M33" s="19" t="s">
        <v>398</v>
      </c>
      <c r="N33" s="19" t="s">
        <v>270</v>
      </c>
      <c r="O33" s="19" t="s">
        <v>399</v>
      </c>
    </row>
    <row r="34" customFormat="false" ht="96" hidden="false" customHeight="true" outlineLevel="0" collapsed="false">
      <c r="A34" s="21" t="s">
        <v>48</v>
      </c>
      <c r="B34" s="21" t="s">
        <v>40</v>
      </c>
      <c r="C34" s="22" t="s">
        <v>46</v>
      </c>
      <c r="D34" s="21" t="s">
        <v>183</v>
      </c>
      <c r="E34" s="21" t="s">
        <v>400</v>
      </c>
      <c r="F34" s="21" t="s">
        <v>216</v>
      </c>
      <c r="G34" s="21" t="s">
        <v>401</v>
      </c>
      <c r="H34" s="21" t="s">
        <v>402</v>
      </c>
      <c r="I34" s="21" t="s">
        <v>403</v>
      </c>
      <c r="J34" s="21" t="s">
        <v>404</v>
      </c>
      <c r="K34" s="21" t="s">
        <v>405</v>
      </c>
      <c r="L34" s="21" t="s">
        <v>35</v>
      </c>
      <c r="M34" s="21" t="s">
        <v>191</v>
      </c>
      <c r="N34" s="21" t="s">
        <v>270</v>
      </c>
      <c r="O34" s="21" t="s">
        <v>406</v>
      </c>
    </row>
    <row r="35" customFormat="false" ht="96" hidden="false" customHeight="true" outlineLevel="0" collapsed="false">
      <c r="A35" s="21" t="s">
        <v>48</v>
      </c>
      <c r="B35" s="21" t="s">
        <v>40</v>
      </c>
      <c r="C35" s="22" t="s">
        <v>50</v>
      </c>
      <c r="D35" s="21" t="s">
        <v>183</v>
      </c>
      <c r="E35" s="21" t="s">
        <v>407</v>
      </c>
      <c r="F35" s="21" t="s">
        <v>216</v>
      </c>
      <c r="G35" s="21" t="s">
        <v>408</v>
      </c>
      <c r="H35" s="21" t="s">
        <v>409</v>
      </c>
      <c r="I35" s="21" t="s">
        <v>410</v>
      </c>
      <c r="J35" s="21" t="s">
        <v>411</v>
      </c>
      <c r="K35" s="21" t="s">
        <v>43</v>
      </c>
      <c r="L35" s="21" t="s">
        <v>35</v>
      </c>
      <c r="M35" s="21" t="s">
        <v>191</v>
      </c>
      <c r="N35" s="21" t="s">
        <v>200</v>
      </c>
      <c r="O35" s="21" t="s">
        <v>412</v>
      </c>
    </row>
    <row r="36" customFormat="false" ht="96" hidden="false" customHeight="true" outlineLevel="0" collapsed="false">
      <c r="A36" s="21" t="s">
        <v>48</v>
      </c>
      <c r="B36" s="21" t="s">
        <v>40</v>
      </c>
      <c r="C36" s="22" t="s">
        <v>53</v>
      </c>
      <c r="D36" s="21" t="s">
        <v>183</v>
      </c>
      <c r="E36" s="21" t="s">
        <v>413</v>
      </c>
      <c r="F36" s="21" t="s">
        <v>216</v>
      </c>
      <c r="G36" s="21" t="s">
        <v>414</v>
      </c>
      <c r="H36" s="21" t="s">
        <v>415</v>
      </c>
      <c r="I36" s="21" t="s">
        <v>416</v>
      </c>
      <c r="J36" s="21" t="s">
        <v>417</v>
      </c>
      <c r="K36" s="21" t="s">
        <v>64</v>
      </c>
      <c r="L36" s="21" t="s">
        <v>35</v>
      </c>
      <c r="M36" s="21" t="s">
        <v>191</v>
      </c>
      <c r="N36" s="21" t="s">
        <v>270</v>
      </c>
      <c r="O36" s="21" t="s">
        <v>418</v>
      </c>
    </row>
    <row r="37" customFormat="false" ht="96" hidden="false" customHeight="true" outlineLevel="0" collapsed="false">
      <c r="A37" s="21" t="s">
        <v>48</v>
      </c>
      <c r="B37" s="21" t="s">
        <v>86</v>
      </c>
      <c r="C37" s="22" t="s">
        <v>95</v>
      </c>
      <c r="D37" s="21" t="s">
        <v>261</v>
      </c>
      <c r="E37" s="21" t="s">
        <v>419</v>
      </c>
      <c r="F37" s="21" t="s">
        <v>216</v>
      </c>
      <c r="G37" s="21" t="s">
        <v>420</v>
      </c>
      <c r="H37" s="21" t="s">
        <v>421</v>
      </c>
      <c r="I37" s="21" t="s">
        <v>422</v>
      </c>
      <c r="J37" s="21" t="s">
        <v>423</v>
      </c>
      <c r="K37" s="21" t="s">
        <v>105</v>
      </c>
      <c r="L37" s="21" t="s">
        <v>85</v>
      </c>
      <c r="M37" s="21" t="s">
        <v>191</v>
      </c>
      <c r="N37" s="21" t="s">
        <v>270</v>
      </c>
      <c r="O37" s="21" t="s">
        <v>424</v>
      </c>
    </row>
    <row r="38" customFormat="false" ht="96" hidden="false" customHeight="true" outlineLevel="0" collapsed="false">
      <c r="A38" s="21" t="s">
        <v>48</v>
      </c>
      <c r="B38" s="21" t="s">
        <v>99</v>
      </c>
      <c r="C38" s="22" t="s">
        <v>105</v>
      </c>
      <c r="D38" s="21" t="s">
        <v>261</v>
      </c>
      <c r="E38" s="21" t="s">
        <v>425</v>
      </c>
      <c r="F38" s="21" t="s">
        <v>216</v>
      </c>
      <c r="G38" s="21" t="s">
        <v>426</v>
      </c>
      <c r="H38" s="21" t="s">
        <v>427</v>
      </c>
      <c r="I38" s="21" t="s">
        <v>428</v>
      </c>
      <c r="J38" s="21" t="s">
        <v>429</v>
      </c>
      <c r="K38" s="21" t="s">
        <v>430</v>
      </c>
      <c r="L38" s="21" t="s">
        <v>35</v>
      </c>
      <c r="M38" s="21" t="s">
        <v>191</v>
      </c>
      <c r="N38" s="21" t="s">
        <v>200</v>
      </c>
      <c r="O38" s="21" t="s">
        <v>431</v>
      </c>
    </row>
    <row r="40" customFormat="false" ht="15" hidden="false" customHeight="false" outlineLevel="0" collapsed="false">
      <c r="C40" s="15" t="s">
        <v>432</v>
      </c>
      <c r="D40" s="15" t="n">
        <f aca="false">COUNTA(C5:C38)</f>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8"/>
    <col collapsed="false" customWidth="true" hidden="false" outlineLevel="0" max="5" min="4" style="0" width="14"/>
    <col collapsed="false" customWidth="true" hidden="false" outlineLevel="0" max="6" min="6" style="0" width="40"/>
    <col collapsed="false" customWidth="true" hidden="false" outlineLevel="0" max="7" min="7" style="0" width="62"/>
  </cols>
  <sheetData>
    <row r="1" customFormat="false" ht="21.75" hidden="false" customHeight="true" outlineLevel="0" collapsed="false">
      <c r="A1" s="1" t="s">
        <v>433</v>
      </c>
    </row>
    <row r="2" customFormat="false" ht="15" hidden="false" customHeight="false" outlineLevel="0" collapsed="false">
      <c r="A2" s="2" t="s">
        <v>434</v>
      </c>
    </row>
    <row r="4" customFormat="false" ht="33.75" hidden="false" customHeight="true" outlineLevel="0" collapsed="false">
      <c r="A4" s="5" t="s">
        <v>435</v>
      </c>
      <c r="B4" s="5" t="s">
        <v>436</v>
      </c>
      <c r="C4" s="5" t="s">
        <v>437</v>
      </c>
      <c r="D4" s="5" t="s">
        <v>438</v>
      </c>
      <c r="E4" s="5" t="s">
        <v>439</v>
      </c>
      <c r="F4" s="5" t="s">
        <v>440</v>
      </c>
      <c r="G4" s="5" t="s">
        <v>441</v>
      </c>
    </row>
    <row r="5" customFormat="false" ht="57.75" hidden="false" customHeight="true" outlineLevel="0" collapsed="false">
      <c r="A5" s="23" t="s">
        <v>244</v>
      </c>
      <c r="B5" s="23" t="s">
        <v>245</v>
      </c>
      <c r="C5" s="23" t="s">
        <v>442</v>
      </c>
      <c r="D5" s="23" t="s">
        <v>443</v>
      </c>
      <c r="E5" s="23" t="s">
        <v>444</v>
      </c>
      <c r="F5" s="23" t="s">
        <v>85</v>
      </c>
      <c r="G5" s="23" t="s">
        <v>445</v>
      </c>
    </row>
    <row r="6" customFormat="false" ht="57.75" hidden="false" customHeight="true" outlineLevel="0" collapsed="false">
      <c r="A6" s="23" t="s">
        <v>253</v>
      </c>
      <c r="B6" s="23" t="s">
        <v>446</v>
      </c>
      <c r="C6" s="23" t="s">
        <v>447</v>
      </c>
      <c r="D6" s="23" t="s">
        <v>443</v>
      </c>
      <c r="E6" s="23" t="s">
        <v>448</v>
      </c>
      <c r="F6" s="23" t="s">
        <v>89</v>
      </c>
      <c r="G6" s="23" t="s">
        <v>449</v>
      </c>
    </row>
    <row r="7" customFormat="false" ht="57.75" hidden="false" customHeight="true" outlineLevel="0" collapsed="false">
      <c r="A7" s="23" t="s">
        <v>450</v>
      </c>
      <c r="B7" s="23" t="s">
        <v>446</v>
      </c>
      <c r="C7" s="23" t="s">
        <v>451</v>
      </c>
      <c r="D7" s="23" t="s">
        <v>452</v>
      </c>
      <c r="E7" s="23" t="s">
        <v>453</v>
      </c>
      <c r="F7" s="23" t="s">
        <v>454</v>
      </c>
      <c r="G7" s="23" t="s">
        <v>455</v>
      </c>
    </row>
    <row r="8" customFormat="false" ht="57.75" hidden="false" customHeight="true" outlineLevel="0" collapsed="false">
      <c r="A8" s="23" t="s">
        <v>456</v>
      </c>
      <c r="B8" s="23" t="s">
        <v>457</v>
      </c>
      <c r="C8" s="23" t="s">
        <v>458</v>
      </c>
      <c r="D8" s="23" t="s">
        <v>443</v>
      </c>
      <c r="E8" s="23" t="s">
        <v>459</v>
      </c>
      <c r="F8" s="23" t="s">
        <v>460</v>
      </c>
      <c r="G8" s="23" t="s">
        <v>461</v>
      </c>
    </row>
    <row r="9" customFormat="false" ht="57.75" hidden="false" customHeight="true" outlineLevel="0" collapsed="false">
      <c r="A9" s="23" t="s">
        <v>173</v>
      </c>
      <c r="B9" s="23" t="s">
        <v>462</v>
      </c>
      <c r="C9" s="23" t="s">
        <v>463</v>
      </c>
      <c r="D9" s="23" t="s">
        <v>452</v>
      </c>
      <c r="E9" s="23" t="s">
        <v>464</v>
      </c>
      <c r="F9" s="23" t="s">
        <v>35</v>
      </c>
      <c r="G9" s="23" t="s">
        <v>465</v>
      </c>
    </row>
    <row r="10" customFormat="false" ht="57.75" hidden="false" customHeight="true" outlineLevel="0" collapsed="false">
      <c r="A10" s="23" t="s">
        <v>466</v>
      </c>
      <c r="B10" s="23" t="s">
        <v>467</v>
      </c>
      <c r="C10" s="23" t="s">
        <v>468</v>
      </c>
      <c r="D10" s="23" t="s">
        <v>443</v>
      </c>
      <c r="E10" s="23" t="s">
        <v>469</v>
      </c>
      <c r="F10" s="23" t="s">
        <v>470</v>
      </c>
      <c r="G10" s="23" t="s">
        <v>471</v>
      </c>
    </row>
    <row r="11" customFormat="false" ht="57.75" hidden="false" customHeight="true" outlineLevel="0" collapsed="false">
      <c r="A11" s="23" t="s">
        <v>472</v>
      </c>
      <c r="B11" s="23" t="s">
        <v>473</v>
      </c>
      <c r="C11" s="23" t="s">
        <v>474</v>
      </c>
      <c r="D11" s="23" t="s">
        <v>475</v>
      </c>
      <c r="E11" s="23" t="s">
        <v>476</v>
      </c>
      <c r="F11" s="23" t="s">
        <v>470</v>
      </c>
      <c r="G11" s="23" t="s">
        <v>477</v>
      </c>
    </row>
    <row r="12" customFormat="false" ht="57.75" hidden="false" customHeight="true" outlineLevel="0" collapsed="false">
      <c r="A12" s="23" t="s">
        <v>184</v>
      </c>
      <c r="B12" s="23" t="s">
        <v>185</v>
      </c>
      <c r="C12" s="23" t="s">
        <v>478</v>
      </c>
      <c r="D12" s="23" t="s">
        <v>452</v>
      </c>
      <c r="E12" s="23" t="s">
        <v>479</v>
      </c>
      <c r="F12" s="23" t="s">
        <v>39</v>
      </c>
      <c r="G12" s="23" t="s">
        <v>480</v>
      </c>
    </row>
    <row r="13" customFormat="false" ht="57.75" hidden="false" customHeight="true" outlineLevel="0" collapsed="false">
      <c r="A13" s="23" t="s">
        <v>481</v>
      </c>
      <c r="B13" s="23" t="s">
        <v>482</v>
      </c>
      <c r="C13" s="23" t="s">
        <v>483</v>
      </c>
      <c r="D13" s="23" t="s">
        <v>452</v>
      </c>
      <c r="E13" s="23" t="s">
        <v>484</v>
      </c>
      <c r="F13" s="23" t="s">
        <v>470</v>
      </c>
      <c r="G13" s="23" t="s">
        <v>485</v>
      </c>
    </row>
    <row r="14" customFormat="false" ht="57.75" hidden="false" customHeight="true" outlineLevel="0" collapsed="false">
      <c r="A14" s="23" t="s">
        <v>162</v>
      </c>
      <c r="B14" s="23" t="s">
        <v>482</v>
      </c>
      <c r="C14" s="23" t="s">
        <v>486</v>
      </c>
      <c r="D14" s="23" t="s">
        <v>452</v>
      </c>
      <c r="E14" s="23" t="s">
        <v>487</v>
      </c>
      <c r="F14" s="23" t="s">
        <v>488</v>
      </c>
      <c r="G14" s="23" t="s">
        <v>489</v>
      </c>
    </row>
    <row r="15" customFormat="false" ht="57.75" hidden="false" customHeight="true" outlineLevel="0" collapsed="false">
      <c r="A15" s="23" t="s">
        <v>193</v>
      </c>
      <c r="B15" s="23" t="s">
        <v>194</v>
      </c>
      <c r="C15" s="23" t="s">
        <v>490</v>
      </c>
      <c r="D15" s="23" t="s">
        <v>443</v>
      </c>
      <c r="E15" s="23" t="s">
        <v>491</v>
      </c>
      <c r="F15" s="23" t="s">
        <v>43</v>
      </c>
      <c r="G15" s="23" t="s">
        <v>492</v>
      </c>
    </row>
    <row r="16" customFormat="false" ht="57.75" hidden="false" customHeight="true" outlineLevel="0" collapsed="false">
      <c r="A16" s="23" t="s">
        <v>493</v>
      </c>
      <c r="B16" s="23" t="s">
        <v>194</v>
      </c>
      <c r="C16" s="23" t="s">
        <v>490</v>
      </c>
      <c r="D16" s="23" t="s">
        <v>443</v>
      </c>
      <c r="E16" s="23" t="s">
        <v>448</v>
      </c>
      <c r="F16" s="23" t="s">
        <v>470</v>
      </c>
      <c r="G16" s="23" t="s">
        <v>494</v>
      </c>
    </row>
    <row r="17" customFormat="false" ht="57.75" hidden="false" customHeight="true" outlineLevel="0" collapsed="false">
      <c r="A17" s="23" t="s">
        <v>203</v>
      </c>
      <c r="B17" s="23" t="s">
        <v>495</v>
      </c>
      <c r="C17" s="23" t="s">
        <v>486</v>
      </c>
      <c r="D17" s="23" t="s">
        <v>452</v>
      </c>
      <c r="E17" s="23" t="s">
        <v>496</v>
      </c>
      <c r="F17" s="23" t="s">
        <v>69</v>
      </c>
      <c r="G17" s="23" t="s">
        <v>497</v>
      </c>
    </row>
    <row r="18" customFormat="false" ht="57.75" hidden="false" customHeight="true" outlineLevel="0" collapsed="false">
      <c r="A18" s="23" t="s">
        <v>498</v>
      </c>
      <c r="B18" s="23" t="s">
        <v>495</v>
      </c>
      <c r="C18" s="23" t="s">
        <v>486</v>
      </c>
      <c r="D18" s="23" t="s">
        <v>452</v>
      </c>
      <c r="E18" s="23" t="s">
        <v>499</v>
      </c>
      <c r="F18" s="23" t="s">
        <v>470</v>
      </c>
      <c r="G18" s="23" t="s">
        <v>500</v>
      </c>
    </row>
    <row r="19" customFormat="false" ht="57.75" hidden="false" customHeight="true" outlineLevel="0" collapsed="false">
      <c r="A19" s="23" t="s">
        <v>501</v>
      </c>
      <c r="B19" s="23" t="s">
        <v>502</v>
      </c>
      <c r="C19" s="23" t="s">
        <v>503</v>
      </c>
      <c r="D19" s="23" t="s">
        <v>452</v>
      </c>
      <c r="E19" s="23" t="s">
        <v>504</v>
      </c>
      <c r="F19" s="23" t="s">
        <v>470</v>
      </c>
      <c r="G19" s="23" t="s">
        <v>505</v>
      </c>
    </row>
    <row r="20" customFormat="false" ht="57.75" hidden="false" customHeight="true" outlineLevel="0" collapsed="false">
      <c r="A20" s="23" t="s">
        <v>506</v>
      </c>
      <c r="B20" s="23" t="s">
        <v>507</v>
      </c>
      <c r="C20" s="23" t="s">
        <v>507</v>
      </c>
      <c r="D20" s="23" t="s">
        <v>452</v>
      </c>
      <c r="E20" s="23" t="s">
        <v>508</v>
      </c>
      <c r="F20" s="23" t="s">
        <v>470</v>
      </c>
      <c r="G20" s="23" t="s">
        <v>509</v>
      </c>
    </row>
    <row r="21" customFormat="false" ht="57.75" hidden="false" customHeight="true" outlineLevel="0" collapsed="false">
      <c r="A21" s="23" t="s">
        <v>400</v>
      </c>
      <c r="B21" s="23" t="s">
        <v>507</v>
      </c>
      <c r="C21" s="23" t="s">
        <v>507</v>
      </c>
      <c r="D21" s="23" t="s">
        <v>31</v>
      </c>
      <c r="E21" s="23" t="s">
        <v>31</v>
      </c>
      <c r="F21" s="23" t="s">
        <v>46</v>
      </c>
      <c r="G21" s="23" t="s">
        <v>510</v>
      </c>
    </row>
    <row r="22" customFormat="false" ht="57.75" hidden="false" customHeight="true" outlineLevel="0" collapsed="false">
      <c r="A22" s="23" t="s">
        <v>511</v>
      </c>
      <c r="B22" s="23" t="s">
        <v>512</v>
      </c>
      <c r="C22" s="23" t="s">
        <v>31</v>
      </c>
      <c r="D22" s="23" t="s">
        <v>31</v>
      </c>
      <c r="E22" s="23" t="s">
        <v>31</v>
      </c>
      <c r="F22" s="23" t="s">
        <v>43</v>
      </c>
      <c r="G22" s="23" t="s">
        <v>513</v>
      </c>
    </row>
    <row r="23" customFormat="false" ht="57.75" hidden="false" customHeight="true" outlineLevel="0" collapsed="false">
      <c r="A23" s="23" t="s">
        <v>407</v>
      </c>
      <c r="B23" s="23" t="s">
        <v>512</v>
      </c>
      <c r="C23" s="23" t="s">
        <v>31</v>
      </c>
      <c r="D23" s="23" t="s">
        <v>31</v>
      </c>
      <c r="E23" s="23" t="s">
        <v>31</v>
      </c>
      <c r="F23" s="23" t="s">
        <v>50</v>
      </c>
      <c r="G23" s="23" t="s">
        <v>514</v>
      </c>
    </row>
    <row r="24" customFormat="false" ht="57.75" hidden="false" customHeight="true" outlineLevel="0" collapsed="false">
      <c r="A24" s="23" t="s">
        <v>515</v>
      </c>
      <c r="B24" s="23" t="s">
        <v>512</v>
      </c>
      <c r="C24" s="23" t="s">
        <v>31</v>
      </c>
      <c r="D24" s="23" t="s">
        <v>31</v>
      </c>
      <c r="E24" s="23" t="s">
        <v>31</v>
      </c>
      <c r="F24" s="23" t="s">
        <v>73</v>
      </c>
      <c r="G24" s="23" t="s">
        <v>516</v>
      </c>
    </row>
    <row r="26" customFormat="false" ht="15" hidden="false" customHeight="false" outlineLevel="0" collapsed="false">
      <c r="A26" s="24" t="s">
        <v>517</v>
      </c>
    </row>
    <row r="27" customFormat="false" ht="15" hidden="false" customHeight="false" outlineLevel="0" collapsed="false">
      <c r="A27" s="25" t="s">
        <v>518</v>
      </c>
    </row>
    <row r="28" customFormat="false" ht="15" hidden="false" customHeight="false" outlineLevel="0" collapsed="false">
      <c r="A28" s="25" t="s">
        <v>519</v>
      </c>
    </row>
    <row r="29" customFormat="false" ht="15" hidden="false" customHeight="false" outlineLevel="0" collapsed="false">
      <c r="A29" s="25" t="s">
        <v>520</v>
      </c>
    </row>
    <row r="30" customFormat="false" ht="15" hidden="false" customHeight="false" outlineLevel="0" collapsed="false">
      <c r="A30" s="25" t="s">
        <v>521</v>
      </c>
    </row>
    <row r="31" customFormat="false" ht="15" hidden="false" customHeight="false" outlineLevel="0" collapsed="false">
      <c r="A31" s="26" t="s">
        <v>522</v>
      </c>
    </row>
    <row r="33" customFormat="false" ht="15" hidden="false" customHeight="false" outlineLevel="0" collapsed="false">
      <c r="A33" s="24" t="s">
        <v>523</v>
      </c>
    </row>
    <row r="34" customFormat="false" ht="15" hidden="false" customHeight="false" outlineLevel="0" collapsed="false">
      <c r="A34" s="25" t="s">
        <v>524</v>
      </c>
    </row>
    <row r="35" customFormat="false" ht="15" hidden="false" customHeight="false" outlineLevel="0" collapsed="false">
      <c r="A35" s="25" t="s">
        <v>525</v>
      </c>
    </row>
    <row r="36" customFormat="false" ht="15" hidden="false" customHeight="false" outlineLevel="0" collapsed="false">
      <c r="A36" s="25" t="s">
        <v>526</v>
      </c>
    </row>
    <row r="37" customFormat="false" ht="15" hidden="false" customHeight="false" outlineLevel="0" collapsed="false">
      <c r="A37" s="25" t="s">
        <v>527</v>
      </c>
    </row>
    <row r="38" customFormat="false" ht="15" hidden="false" customHeight="false" outlineLevel="0" collapsed="false">
      <c r="A38" s="25" t="s">
        <v>528</v>
      </c>
    </row>
    <row r="39" customFormat="false" ht="15" hidden="false" customHeight="false" outlineLevel="0" collapsed="false">
      <c r="A39" s="25" t="s">
        <v>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16"/>
    <col collapsed="false" customWidth="true" hidden="false" outlineLevel="0" max="4" min="4" style="0" width="34"/>
    <col collapsed="false" customWidth="true" hidden="false" outlineLevel="0" max="5" min="5" style="0" width="74"/>
  </cols>
  <sheetData>
    <row r="1" customFormat="false" ht="21.75" hidden="false" customHeight="true" outlineLevel="0" collapsed="false">
      <c r="A1" s="1" t="s">
        <v>530</v>
      </c>
    </row>
    <row r="2" customFormat="false" ht="15" hidden="false" customHeight="false" outlineLevel="0" collapsed="false">
      <c r="A2" s="2" t="s">
        <v>531</v>
      </c>
    </row>
    <row r="4" customFormat="false" ht="33.75" hidden="false" customHeight="true" outlineLevel="0" collapsed="false">
      <c r="A4" s="5" t="s">
        <v>435</v>
      </c>
      <c r="B4" s="5" t="s">
        <v>436</v>
      </c>
      <c r="C4" s="5" t="s">
        <v>532</v>
      </c>
      <c r="D4" s="5" t="s">
        <v>533</v>
      </c>
      <c r="E4" s="5" t="s">
        <v>534</v>
      </c>
    </row>
    <row r="5" customFormat="false" ht="43.5" hidden="false" customHeight="true" outlineLevel="0" collapsed="false">
      <c r="A5" s="23" t="s">
        <v>535</v>
      </c>
      <c r="B5" s="23" t="s">
        <v>245</v>
      </c>
      <c r="C5" s="23" t="s">
        <v>48</v>
      </c>
      <c r="D5" s="23" t="s">
        <v>30</v>
      </c>
      <c r="E5" s="23" t="s">
        <v>536</v>
      </c>
    </row>
    <row r="6" customFormat="false" ht="43.5" hidden="false" customHeight="true" outlineLevel="0" collapsed="false">
      <c r="A6" s="23" t="s">
        <v>162</v>
      </c>
      <c r="B6" s="23" t="s">
        <v>482</v>
      </c>
      <c r="C6" s="23" t="s">
        <v>537</v>
      </c>
      <c r="D6" s="23" t="s">
        <v>30</v>
      </c>
      <c r="E6" s="23" t="s">
        <v>538</v>
      </c>
    </row>
    <row r="7" customFormat="false" ht="43.5" hidden="false" customHeight="true" outlineLevel="0" collapsed="false">
      <c r="A7" s="23" t="s">
        <v>539</v>
      </c>
      <c r="B7" s="23" t="s">
        <v>482</v>
      </c>
      <c r="C7" s="23" t="s">
        <v>540</v>
      </c>
      <c r="D7" s="23" t="s">
        <v>30</v>
      </c>
      <c r="E7" s="23" t="s">
        <v>541</v>
      </c>
    </row>
    <row r="8" customFormat="false" ht="43.5" hidden="false" customHeight="true" outlineLevel="0" collapsed="false">
      <c r="A8" s="23" t="s">
        <v>173</v>
      </c>
      <c r="B8" s="23" t="s">
        <v>542</v>
      </c>
      <c r="C8" s="23" t="s">
        <v>543</v>
      </c>
      <c r="D8" s="23" t="s">
        <v>30</v>
      </c>
      <c r="E8" s="23" t="s">
        <v>544</v>
      </c>
    </row>
    <row r="9" customFormat="false" ht="43.5" hidden="false" customHeight="true" outlineLevel="0" collapsed="false">
      <c r="A9" s="23" t="s">
        <v>184</v>
      </c>
      <c r="B9" s="23" t="s">
        <v>185</v>
      </c>
      <c r="C9" s="23" t="s">
        <v>507</v>
      </c>
      <c r="D9" s="23" t="s">
        <v>30</v>
      </c>
      <c r="E9" s="23" t="s">
        <v>545</v>
      </c>
    </row>
    <row r="10" customFormat="false" ht="43.5" hidden="false" customHeight="true" outlineLevel="0" collapsed="false">
      <c r="A10" s="23" t="s">
        <v>546</v>
      </c>
      <c r="B10" s="23" t="s">
        <v>547</v>
      </c>
      <c r="C10" s="23" t="s">
        <v>548</v>
      </c>
      <c r="D10" s="23" t="s">
        <v>549</v>
      </c>
      <c r="E10" s="23" t="s">
        <v>550</v>
      </c>
    </row>
    <row r="11" customFormat="false" ht="43.5" hidden="false" customHeight="true" outlineLevel="0" collapsed="false">
      <c r="A11" s="23" t="s">
        <v>551</v>
      </c>
      <c r="B11" s="23" t="s">
        <v>194</v>
      </c>
      <c r="C11" s="23" t="s">
        <v>552</v>
      </c>
      <c r="D11" s="23" t="s">
        <v>549</v>
      </c>
      <c r="E11" s="23" t="s">
        <v>553</v>
      </c>
    </row>
    <row r="12" customFormat="false" ht="43.5" hidden="false" customHeight="true" outlineLevel="0" collapsed="false">
      <c r="A12" s="23" t="s">
        <v>554</v>
      </c>
      <c r="B12" s="23" t="s">
        <v>482</v>
      </c>
      <c r="C12" s="23" t="s">
        <v>555</v>
      </c>
      <c r="D12" s="23" t="s">
        <v>549</v>
      </c>
      <c r="E12" s="23" t="s">
        <v>556</v>
      </c>
    </row>
    <row r="13" customFormat="false" ht="43.5" hidden="false" customHeight="true" outlineLevel="0" collapsed="false">
      <c r="A13" s="23" t="s">
        <v>557</v>
      </c>
      <c r="B13" s="23" t="s">
        <v>194</v>
      </c>
      <c r="C13" s="23" t="s">
        <v>552</v>
      </c>
      <c r="D13" s="23" t="s">
        <v>549</v>
      </c>
      <c r="E13" s="23" t="s">
        <v>558</v>
      </c>
    </row>
    <row r="14" customFormat="false" ht="43.5" hidden="false" customHeight="true" outlineLevel="0" collapsed="false">
      <c r="A14" s="23" t="s">
        <v>193</v>
      </c>
      <c r="B14" s="23" t="s">
        <v>194</v>
      </c>
      <c r="C14" s="23" t="s">
        <v>559</v>
      </c>
      <c r="D14" s="23" t="s">
        <v>549</v>
      </c>
      <c r="E14" s="23" t="s">
        <v>558</v>
      </c>
    </row>
    <row r="15" customFormat="false" ht="43.5" hidden="false" customHeight="true" outlineLevel="0" collapsed="false">
      <c r="A15" s="23" t="s">
        <v>560</v>
      </c>
      <c r="B15" s="23" t="s">
        <v>561</v>
      </c>
      <c r="C15" s="23" t="s">
        <v>562</v>
      </c>
      <c r="D15" s="23" t="s">
        <v>549</v>
      </c>
      <c r="E15" s="23" t="s">
        <v>563</v>
      </c>
    </row>
    <row r="16" customFormat="false" ht="43.5" hidden="false" customHeight="true" outlineLevel="0" collapsed="false">
      <c r="A16" s="23" t="s">
        <v>472</v>
      </c>
      <c r="B16" s="23" t="s">
        <v>473</v>
      </c>
      <c r="C16" s="23" t="s">
        <v>564</v>
      </c>
      <c r="D16" s="23" t="s">
        <v>549</v>
      </c>
      <c r="E16" s="23" t="s">
        <v>565</v>
      </c>
    </row>
    <row r="17" customFormat="false" ht="43.5" hidden="false" customHeight="true" outlineLevel="0" collapsed="false">
      <c r="A17" s="23" t="s">
        <v>566</v>
      </c>
      <c r="B17" s="23" t="s">
        <v>457</v>
      </c>
      <c r="C17" s="23" t="s">
        <v>567</v>
      </c>
      <c r="D17" s="23" t="s">
        <v>549</v>
      </c>
      <c r="E17" s="23" t="s">
        <v>568</v>
      </c>
    </row>
    <row r="18" customFormat="false" ht="43.5" hidden="false" customHeight="true" outlineLevel="0" collapsed="false">
      <c r="A18" s="23" t="s">
        <v>569</v>
      </c>
      <c r="B18" s="23" t="s">
        <v>185</v>
      </c>
      <c r="C18" s="23" t="s">
        <v>570</v>
      </c>
      <c r="D18" s="23" t="s">
        <v>549</v>
      </c>
      <c r="E18" s="23" t="s">
        <v>571</v>
      </c>
    </row>
    <row r="19" customFormat="false" ht="43.5" hidden="false" customHeight="true" outlineLevel="0" collapsed="false">
      <c r="A19" s="23" t="s">
        <v>493</v>
      </c>
      <c r="B19" s="23" t="s">
        <v>194</v>
      </c>
      <c r="C19" s="23" t="s">
        <v>572</v>
      </c>
      <c r="D19" s="23" t="s">
        <v>549</v>
      </c>
      <c r="E19" s="23" t="s">
        <v>573</v>
      </c>
    </row>
    <row r="20" customFormat="false" ht="43.5" hidden="false" customHeight="true" outlineLevel="0" collapsed="false">
      <c r="A20" s="23" t="s">
        <v>253</v>
      </c>
      <c r="B20" s="23" t="s">
        <v>245</v>
      </c>
      <c r="C20" s="23" t="s">
        <v>574</v>
      </c>
      <c r="D20" s="23" t="s">
        <v>30</v>
      </c>
      <c r="E20" s="23" t="s">
        <v>575</v>
      </c>
    </row>
    <row r="21" customFormat="false" ht="43.5" hidden="false" customHeight="true" outlineLevel="0" collapsed="false">
      <c r="A21" s="23" t="s">
        <v>576</v>
      </c>
      <c r="B21" s="23" t="s">
        <v>482</v>
      </c>
      <c r="C21" s="23" t="s">
        <v>577</v>
      </c>
      <c r="D21" s="23" t="s">
        <v>30</v>
      </c>
      <c r="E21" s="23" t="s">
        <v>578</v>
      </c>
    </row>
    <row r="22" customFormat="false" ht="43.5" hidden="false" customHeight="true" outlineLevel="0" collapsed="false">
      <c r="A22" s="23" t="s">
        <v>579</v>
      </c>
      <c r="B22" s="23" t="s">
        <v>185</v>
      </c>
      <c r="C22" s="23" t="s">
        <v>580</v>
      </c>
      <c r="D22" s="23" t="s">
        <v>30</v>
      </c>
      <c r="E22" s="23" t="s">
        <v>581</v>
      </c>
    </row>
    <row r="24" customFormat="false" ht="15" hidden="false" customHeight="false" outlineLevel="0" collapsed="false">
      <c r="A24" s="3" t="s">
        <v>582</v>
      </c>
    </row>
    <row r="25" customFormat="false" ht="31.5" hidden="false" customHeight="true" outlineLevel="0" collapsed="false">
      <c r="A25" s="27" t="s">
        <v>583</v>
      </c>
      <c r="B25" s="27"/>
      <c r="C25" s="27"/>
      <c r="D25" s="27"/>
      <c r="E25" s="27"/>
    </row>
    <row r="26" customFormat="false" ht="31.5" hidden="false" customHeight="true" outlineLevel="0" collapsed="false">
      <c r="A26" s="27" t="s">
        <v>584</v>
      </c>
      <c r="B26" s="27"/>
      <c r="C26" s="27"/>
      <c r="D26" s="27"/>
      <c r="E26" s="27"/>
    </row>
    <row r="27" customFormat="false" ht="31.5" hidden="false" customHeight="true" outlineLevel="0" collapsed="false">
      <c r="A27" s="27" t="s">
        <v>585</v>
      </c>
      <c r="B27" s="27"/>
      <c r="C27" s="27"/>
      <c r="D27" s="27"/>
      <c r="E27" s="27"/>
    </row>
  </sheetData>
  <mergeCells count="3">
    <mergeCell ref="A25:E25"/>
    <mergeCell ref="A26:E26"/>
    <mergeCell ref="A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6"/>
    <col collapsed="false" customWidth="true" hidden="false" outlineLevel="0" max="4" min="3" style="0" width="32"/>
    <col collapsed="false" customWidth="true" hidden="false" outlineLevel="0" max="5" min="5" style="0" width="58"/>
    <col collapsed="false" customWidth="true" hidden="false" outlineLevel="0" max="6" min="6" style="0" width="52"/>
  </cols>
  <sheetData>
    <row r="1" customFormat="false" ht="21.75" hidden="false" customHeight="true" outlineLevel="0" collapsed="false">
      <c r="A1" s="1" t="s">
        <v>586</v>
      </c>
    </row>
    <row r="2" customFormat="false" ht="15" hidden="false" customHeight="false" outlineLevel="0" collapsed="false">
      <c r="A2" s="2" t="s">
        <v>587</v>
      </c>
    </row>
    <row r="4" customFormat="false" ht="33.75" hidden="false" customHeight="true" outlineLevel="0" collapsed="false">
      <c r="A4" s="5" t="s">
        <v>588</v>
      </c>
      <c r="B4" s="5" t="s">
        <v>589</v>
      </c>
      <c r="C4" s="5" t="s">
        <v>590</v>
      </c>
      <c r="D4" s="5" t="s">
        <v>591</v>
      </c>
      <c r="E4" s="5" t="s">
        <v>592</v>
      </c>
      <c r="F4" s="5" t="s">
        <v>593</v>
      </c>
    </row>
    <row r="5" customFormat="false" ht="132" hidden="false" customHeight="true" outlineLevel="0" collapsed="false">
      <c r="A5" s="23" t="s">
        <v>594</v>
      </c>
      <c r="B5" s="23" t="s">
        <v>595</v>
      </c>
      <c r="C5" s="23" t="s">
        <v>596</v>
      </c>
      <c r="D5" s="23" t="s">
        <v>597</v>
      </c>
      <c r="E5" s="23" t="s">
        <v>598</v>
      </c>
      <c r="F5" s="23" t="s">
        <v>599</v>
      </c>
    </row>
    <row r="6" customFormat="false" ht="132" hidden="false" customHeight="true" outlineLevel="0" collapsed="false">
      <c r="A6" s="23" t="s">
        <v>600</v>
      </c>
      <c r="B6" s="23" t="s">
        <v>601</v>
      </c>
      <c r="C6" s="23" t="s">
        <v>602</v>
      </c>
      <c r="D6" s="23" t="s">
        <v>603</v>
      </c>
      <c r="E6" s="23" t="s">
        <v>604</v>
      </c>
      <c r="F6" s="23" t="s">
        <v>605</v>
      </c>
    </row>
    <row r="7" customFormat="false" ht="132" hidden="false" customHeight="true" outlineLevel="0" collapsed="false">
      <c r="A7" s="23" t="s">
        <v>606</v>
      </c>
      <c r="B7" s="23" t="s">
        <v>607</v>
      </c>
      <c r="C7" s="23" t="s">
        <v>608</v>
      </c>
      <c r="D7" s="23" t="s">
        <v>609</v>
      </c>
      <c r="E7" s="23" t="s">
        <v>610</v>
      </c>
      <c r="F7" s="23" t="s">
        <v>611</v>
      </c>
    </row>
    <row r="8" customFormat="false" ht="132" hidden="false" customHeight="true" outlineLevel="0" collapsed="false">
      <c r="A8" s="23" t="s">
        <v>612</v>
      </c>
      <c r="B8" s="23" t="s">
        <v>613</v>
      </c>
      <c r="C8" s="23" t="s">
        <v>614</v>
      </c>
      <c r="D8" s="23" t="s">
        <v>615</v>
      </c>
      <c r="E8" s="23" t="s">
        <v>616</v>
      </c>
      <c r="F8" s="23" t="s">
        <v>617</v>
      </c>
    </row>
    <row r="9" customFormat="false" ht="132" hidden="false" customHeight="true" outlineLevel="0" collapsed="false">
      <c r="A9" s="23" t="s">
        <v>618</v>
      </c>
      <c r="B9" s="23" t="s">
        <v>619</v>
      </c>
      <c r="C9" s="23" t="s">
        <v>620</v>
      </c>
      <c r="D9" s="23" t="s">
        <v>620</v>
      </c>
      <c r="E9" s="23" t="s">
        <v>621</v>
      </c>
      <c r="F9" s="23" t="s">
        <v>622</v>
      </c>
    </row>
    <row r="10" customFormat="false" ht="132" hidden="false" customHeight="true" outlineLevel="0" collapsed="false">
      <c r="A10" s="23" t="s">
        <v>623</v>
      </c>
      <c r="B10" s="23" t="s">
        <v>619</v>
      </c>
      <c r="C10" s="23" t="s">
        <v>620</v>
      </c>
      <c r="D10" s="23" t="s">
        <v>620</v>
      </c>
      <c r="E10" s="23" t="s">
        <v>621</v>
      </c>
      <c r="F10" s="23" t="s">
        <v>624</v>
      </c>
    </row>
    <row r="12" customFormat="false" ht="15" hidden="false" customHeight="false" outlineLevel="0" collapsed="false">
      <c r="A12" s="3" t="s">
        <v>625</v>
      </c>
    </row>
    <row r="13" customFormat="false" ht="33.75" hidden="false" customHeight="true" outlineLevel="0" collapsed="false">
      <c r="A13" s="27" t="s">
        <v>626</v>
      </c>
      <c r="B13" s="27"/>
      <c r="C13" s="27"/>
      <c r="D13" s="27"/>
      <c r="E13" s="27"/>
      <c r="F13" s="27"/>
    </row>
    <row r="14" customFormat="false" ht="33.75" hidden="false" customHeight="true" outlineLevel="0" collapsed="false">
      <c r="A14" s="27" t="s">
        <v>627</v>
      </c>
      <c r="B14" s="27"/>
      <c r="C14" s="27"/>
      <c r="D14" s="27"/>
      <c r="E14" s="27"/>
      <c r="F14" s="27"/>
    </row>
    <row r="15" customFormat="false" ht="33.75" hidden="false" customHeight="true" outlineLevel="0" collapsed="false">
      <c r="A15" s="27" t="s">
        <v>628</v>
      </c>
      <c r="B15" s="27"/>
      <c r="C15" s="27"/>
      <c r="D15" s="27"/>
      <c r="E15" s="27"/>
      <c r="F15" s="27"/>
    </row>
    <row r="16" customFormat="false" ht="33.75" hidden="false" customHeight="true" outlineLevel="0" collapsed="false">
      <c r="A16" s="28" t="s">
        <v>629</v>
      </c>
      <c r="B16" s="28"/>
      <c r="C16" s="28"/>
      <c r="D16" s="28"/>
      <c r="E16" s="28"/>
      <c r="F16" s="28"/>
    </row>
  </sheetData>
  <mergeCells count="4">
    <mergeCell ref="A13:F13"/>
    <mergeCell ref="A14:F14"/>
    <mergeCell ref="A15:F15"/>
    <mergeCell ref="A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52"/>
    <col collapsed="false" customWidth="true" hidden="false" outlineLevel="0" max="4" min="4" style="0" width="72"/>
    <col collapsed="false" customWidth="true" hidden="false" outlineLevel="0" max="5" min="5" style="0" width="44"/>
  </cols>
  <sheetData>
    <row r="1" customFormat="false" ht="21.75" hidden="false" customHeight="true" outlineLevel="0" collapsed="false">
      <c r="A1" s="1" t="s">
        <v>630</v>
      </c>
    </row>
    <row r="2" customFormat="false" ht="15" hidden="false" customHeight="false" outlineLevel="0" collapsed="false">
      <c r="A2" s="2" t="s">
        <v>631</v>
      </c>
    </row>
    <row r="4" customFormat="false" ht="33.75" hidden="false" customHeight="true" outlineLevel="0" collapsed="false">
      <c r="A4" s="5" t="s">
        <v>28</v>
      </c>
      <c r="B4" s="5" t="s">
        <v>632</v>
      </c>
      <c r="C4" s="5" t="s">
        <v>633</v>
      </c>
      <c r="D4" s="5" t="s">
        <v>634</v>
      </c>
      <c r="E4" s="5" t="s">
        <v>635</v>
      </c>
    </row>
    <row r="5" customFormat="false" ht="150" hidden="false" customHeight="true" outlineLevel="0" collapsed="false">
      <c r="A5" s="17" t="s">
        <v>636</v>
      </c>
      <c r="B5" s="17" t="s">
        <v>637</v>
      </c>
      <c r="C5" s="17" t="s">
        <v>638</v>
      </c>
      <c r="D5" s="17" t="s">
        <v>639</v>
      </c>
      <c r="E5" s="17" t="s">
        <v>640</v>
      </c>
    </row>
    <row r="6" customFormat="false" ht="150" hidden="false" customHeight="true" outlineLevel="0" collapsed="false">
      <c r="A6" s="19" t="s">
        <v>641</v>
      </c>
      <c r="B6" s="19" t="s">
        <v>642</v>
      </c>
      <c r="C6" s="19" t="s">
        <v>643</v>
      </c>
      <c r="D6" s="19" t="s">
        <v>644</v>
      </c>
      <c r="E6" s="19" t="s">
        <v>645</v>
      </c>
    </row>
    <row r="7" customFormat="false" ht="150" hidden="false" customHeight="true" outlineLevel="0" collapsed="false">
      <c r="A7" s="21" t="s">
        <v>646</v>
      </c>
      <c r="B7" s="21" t="s">
        <v>647</v>
      </c>
      <c r="C7" s="21" t="s">
        <v>648</v>
      </c>
      <c r="D7" s="21" t="s">
        <v>649</v>
      </c>
      <c r="E7" s="21" t="s">
        <v>650</v>
      </c>
    </row>
    <row r="9" customFormat="false" ht="15" hidden="false" customHeight="false" outlineLevel="0" collapsed="false">
      <c r="A9" s="3" t="s">
        <v>651</v>
      </c>
    </row>
    <row r="10" customFormat="false" ht="15" hidden="false" customHeight="false" outlineLevel="0" collapsed="false">
      <c r="A10" s="29" t="s">
        <v>652</v>
      </c>
      <c r="B10" s="29"/>
      <c r="C10" s="29"/>
      <c r="D10" s="29"/>
      <c r="E10" s="29"/>
    </row>
    <row r="11" customFormat="false" ht="15" hidden="false" customHeight="false" outlineLevel="0" collapsed="false">
      <c r="A11" s="29" t="s">
        <v>653</v>
      </c>
      <c r="B11" s="29"/>
      <c r="C11" s="29"/>
      <c r="D11" s="29"/>
      <c r="E11" s="29"/>
    </row>
    <row r="12" customFormat="false" ht="15" hidden="false" customHeight="false" outlineLevel="0" collapsed="false">
      <c r="A12" s="29" t="s">
        <v>654</v>
      </c>
      <c r="B12" s="29"/>
      <c r="C12" s="29"/>
      <c r="D12" s="29"/>
      <c r="E12" s="29"/>
    </row>
    <row r="13" customFormat="false" ht="15" hidden="false" customHeight="false" outlineLevel="0" collapsed="false">
      <c r="A13" s="29" t="s">
        <v>655</v>
      </c>
      <c r="B13" s="29"/>
      <c r="C13" s="29"/>
      <c r="D13" s="29"/>
      <c r="E13" s="29"/>
    </row>
    <row r="14" customFormat="false" ht="15" hidden="false" customHeight="false" outlineLevel="0" collapsed="false">
      <c r="A14" s="29" t="s">
        <v>656</v>
      </c>
      <c r="B14" s="29"/>
      <c r="C14" s="29"/>
      <c r="D14" s="29"/>
      <c r="E14" s="29"/>
    </row>
    <row r="15" customFormat="false" ht="15" hidden="false" customHeight="false" outlineLevel="0" collapsed="false">
      <c r="A15" s="29" t="s">
        <v>657</v>
      </c>
      <c r="B15" s="29"/>
      <c r="C15" s="29"/>
      <c r="D15" s="29"/>
      <c r="E15" s="29"/>
    </row>
    <row r="17" customFormat="false" ht="15" hidden="false" customHeight="false" outlineLevel="0" collapsed="false">
      <c r="A17" s="3" t="s">
        <v>658</v>
      </c>
    </row>
    <row r="18" customFormat="false" ht="33.75" hidden="false" customHeight="true" outlineLevel="0" collapsed="false">
      <c r="A18" s="27" t="s">
        <v>659</v>
      </c>
      <c r="B18" s="27"/>
      <c r="C18" s="27"/>
      <c r="D18" s="27"/>
      <c r="E18" s="27"/>
    </row>
    <row r="19" customFormat="false" ht="33.75" hidden="false" customHeight="true" outlineLevel="0" collapsed="false">
      <c r="A19" s="27" t="s">
        <v>660</v>
      </c>
      <c r="B19" s="27"/>
      <c r="C19" s="27"/>
      <c r="D19" s="27"/>
      <c r="E19" s="27"/>
    </row>
    <row r="20" customFormat="false" ht="33.75" hidden="false" customHeight="true" outlineLevel="0" collapsed="false">
      <c r="A20" s="27" t="s">
        <v>661</v>
      </c>
      <c r="B20" s="27"/>
      <c r="C20" s="27"/>
      <c r="D20" s="27"/>
      <c r="E20" s="27"/>
    </row>
    <row r="21" customFormat="false" ht="33.75" hidden="false" customHeight="true" outlineLevel="0" collapsed="false">
      <c r="A21" s="27" t="s">
        <v>662</v>
      </c>
      <c r="B21" s="27"/>
      <c r="C21" s="27"/>
      <c r="D21" s="27"/>
      <c r="E21" s="27"/>
    </row>
    <row r="22" customFormat="false" ht="33.75" hidden="false" customHeight="true" outlineLevel="0" collapsed="false">
      <c r="A22" s="27" t="s">
        <v>663</v>
      </c>
      <c r="B22" s="27"/>
      <c r="C22" s="27"/>
      <c r="D22" s="27"/>
      <c r="E22" s="27"/>
    </row>
    <row r="23" customFormat="false" ht="33.75" hidden="false" customHeight="true" outlineLevel="0" collapsed="false">
      <c r="A23" s="27" t="s">
        <v>664</v>
      </c>
      <c r="B23" s="27"/>
      <c r="C23" s="27"/>
      <c r="D23" s="27"/>
      <c r="E23" s="27"/>
    </row>
  </sheetData>
  <mergeCells count="12">
    <mergeCell ref="A10:E10"/>
    <mergeCell ref="A11:E11"/>
    <mergeCell ref="A12:E12"/>
    <mergeCell ref="A13:E13"/>
    <mergeCell ref="A14:E14"/>
    <mergeCell ref="A15:E15"/>
    <mergeCell ref="A18:E18"/>
    <mergeCell ref="A19:E19"/>
    <mergeCell ref="A20:E20"/>
    <mergeCell ref="A21:E21"/>
    <mergeCell ref="A22:E22"/>
    <mergeCell ref="A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40"/>
    <col collapsed="false" customWidth="true" hidden="false" outlineLevel="0" max="4" min="4" style="0" width="52"/>
    <col collapsed="false" customWidth="true" hidden="false" outlineLevel="0" max="5" min="5" style="0" width="20"/>
    <col collapsed="false" customWidth="true" hidden="false" outlineLevel="0" max="6" min="6" style="0" width="16"/>
  </cols>
  <sheetData>
    <row r="1" customFormat="false" ht="21.75" hidden="false" customHeight="true" outlineLevel="0" collapsed="false">
      <c r="A1" s="1" t="s">
        <v>665</v>
      </c>
    </row>
    <row r="2" customFormat="false" ht="15" hidden="false" customHeight="false" outlineLevel="0" collapsed="false">
      <c r="A2" s="2" t="s">
        <v>666</v>
      </c>
    </row>
    <row r="4" customFormat="false" ht="33.75" hidden="false" customHeight="true" outlineLevel="0" collapsed="false">
      <c r="A4" s="5" t="s">
        <v>667</v>
      </c>
      <c r="B4" s="5" t="s">
        <v>668</v>
      </c>
      <c r="C4" s="5" t="s">
        <v>669</v>
      </c>
      <c r="D4" s="5" t="s">
        <v>670</v>
      </c>
      <c r="E4" s="5" t="s">
        <v>671</v>
      </c>
      <c r="F4" s="5" t="s">
        <v>672</v>
      </c>
    </row>
    <row r="5" customFormat="false" ht="61.5" hidden="false" customHeight="true" outlineLevel="0" collapsed="false">
      <c r="A5" s="30" t="n">
        <v>1</v>
      </c>
      <c r="B5" s="30" t="s">
        <v>673</v>
      </c>
      <c r="C5" s="30" t="s">
        <v>674</v>
      </c>
      <c r="D5" s="30" t="s">
        <v>675</v>
      </c>
      <c r="E5" s="30" t="s">
        <v>676</v>
      </c>
      <c r="F5" s="30" t="s">
        <v>677</v>
      </c>
    </row>
    <row r="6" customFormat="false" ht="61.5" hidden="false" customHeight="true" outlineLevel="0" collapsed="false">
      <c r="A6" s="30" t="n">
        <v>2</v>
      </c>
      <c r="B6" s="30" t="s">
        <v>678</v>
      </c>
      <c r="C6" s="30" t="s">
        <v>679</v>
      </c>
      <c r="D6" s="30" t="s">
        <v>680</v>
      </c>
      <c r="E6" s="30" t="s">
        <v>676</v>
      </c>
      <c r="F6" s="30" t="s">
        <v>681</v>
      </c>
    </row>
    <row r="7" customFormat="false" ht="61.5" hidden="false" customHeight="true" outlineLevel="0" collapsed="false">
      <c r="A7" s="30" t="n">
        <v>3</v>
      </c>
      <c r="B7" s="30" t="s">
        <v>682</v>
      </c>
      <c r="C7" s="30" t="s">
        <v>683</v>
      </c>
      <c r="D7" s="30" t="s">
        <v>684</v>
      </c>
      <c r="E7" s="30" t="s">
        <v>676</v>
      </c>
      <c r="F7" s="30" t="s">
        <v>681</v>
      </c>
    </row>
    <row r="8" customFormat="false" ht="61.5" hidden="false" customHeight="true" outlineLevel="0" collapsed="false">
      <c r="A8" s="30" t="n">
        <v>4</v>
      </c>
      <c r="B8" s="30" t="s">
        <v>685</v>
      </c>
      <c r="C8" s="30" t="s">
        <v>115</v>
      </c>
      <c r="D8" s="30" t="s">
        <v>686</v>
      </c>
      <c r="E8" s="30" t="s">
        <v>676</v>
      </c>
      <c r="F8" s="30" t="s">
        <v>677</v>
      </c>
    </row>
    <row r="9" customFormat="false" ht="61.5" hidden="false" customHeight="true" outlineLevel="0" collapsed="false">
      <c r="A9" s="23" t="n">
        <v>5</v>
      </c>
      <c r="B9" s="23" t="s">
        <v>687</v>
      </c>
      <c r="C9" s="23" t="s">
        <v>688</v>
      </c>
      <c r="D9" s="23" t="s">
        <v>689</v>
      </c>
      <c r="E9" s="23" t="s">
        <v>676</v>
      </c>
      <c r="F9" s="23" t="s">
        <v>677</v>
      </c>
    </row>
    <row r="10" customFormat="false" ht="61.5" hidden="false" customHeight="true" outlineLevel="0" collapsed="false">
      <c r="A10" s="30" t="n">
        <v>6</v>
      </c>
      <c r="B10" s="30" t="s">
        <v>690</v>
      </c>
      <c r="C10" s="30" t="s">
        <v>691</v>
      </c>
      <c r="D10" s="30" t="s">
        <v>692</v>
      </c>
      <c r="E10" s="30" t="s">
        <v>676</v>
      </c>
      <c r="F10" s="30" t="s">
        <v>677</v>
      </c>
    </row>
    <row r="11" customFormat="false" ht="61.5" hidden="false" customHeight="true" outlineLevel="0" collapsed="false">
      <c r="A11" s="23" t="n">
        <v>7</v>
      </c>
      <c r="B11" s="23" t="s">
        <v>693</v>
      </c>
      <c r="C11" s="23" t="s">
        <v>694</v>
      </c>
      <c r="D11" s="23" t="s">
        <v>695</v>
      </c>
      <c r="E11" s="23" t="s">
        <v>676</v>
      </c>
      <c r="F11" s="23" t="s">
        <v>677</v>
      </c>
    </row>
    <row r="12" customFormat="false" ht="61.5" hidden="false" customHeight="true" outlineLevel="0" collapsed="false">
      <c r="A12" s="23" t="n">
        <v>8</v>
      </c>
      <c r="B12" s="23" t="s">
        <v>696</v>
      </c>
      <c r="C12" s="23" t="s">
        <v>697</v>
      </c>
      <c r="D12" s="23" t="s">
        <v>698</v>
      </c>
      <c r="E12" s="23" t="s">
        <v>676</v>
      </c>
      <c r="F12" s="23" t="s">
        <v>677</v>
      </c>
    </row>
    <row r="13" customFormat="false" ht="61.5" hidden="false" customHeight="true" outlineLevel="0" collapsed="false">
      <c r="A13" s="23" t="n">
        <v>9</v>
      </c>
      <c r="B13" s="23" t="s">
        <v>699</v>
      </c>
      <c r="C13" s="23" t="s">
        <v>700</v>
      </c>
      <c r="D13" s="23" t="s">
        <v>701</v>
      </c>
      <c r="E13" s="23" t="s">
        <v>676</v>
      </c>
      <c r="F13" s="23" t="s">
        <v>702</v>
      </c>
    </row>
    <row r="14" customFormat="false" ht="61.5" hidden="false" customHeight="true" outlineLevel="0" collapsed="false">
      <c r="A14" s="23" t="n">
        <v>10</v>
      </c>
      <c r="B14" s="23" t="s">
        <v>703</v>
      </c>
      <c r="C14" s="23" t="s">
        <v>704</v>
      </c>
      <c r="D14" s="23" t="s">
        <v>705</v>
      </c>
      <c r="E14" s="23" t="s">
        <v>676</v>
      </c>
      <c r="F14" s="23" t="s">
        <v>702</v>
      </c>
    </row>
    <row r="15" customFormat="false" ht="61.5" hidden="false" customHeight="true" outlineLevel="0" collapsed="false">
      <c r="A15" s="23" t="n">
        <v>11</v>
      </c>
      <c r="B15" s="23" t="s">
        <v>706</v>
      </c>
      <c r="C15" s="23" t="s">
        <v>707</v>
      </c>
      <c r="D15" s="23" t="s">
        <v>708</v>
      </c>
      <c r="E15" s="23" t="s">
        <v>709</v>
      </c>
      <c r="F15" s="23" t="s">
        <v>677</v>
      </c>
    </row>
    <row r="16" customFormat="false" ht="61.5" hidden="false" customHeight="true" outlineLevel="0" collapsed="false">
      <c r="A16" s="30" t="n">
        <v>12</v>
      </c>
      <c r="B16" s="30" t="s">
        <v>710</v>
      </c>
      <c r="C16" s="30" t="s">
        <v>711</v>
      </c>
      <c r="D16" s="30" t="s">
        <v>712</v>
      </c>
      <c r="E16" s="30" t="s">
        <v>709</v>
      </c>
      <c r="F16" s="30"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2026-08-14T16:44:59Z</dcterms:created>
  <dc:creator>openpyxl</dc:creator>
  <dc:description/>
  <dc:language>en-US</dc:language>
  <cp:lastModifiedBy/>
  <dcterms:modified xsi:type="dcterms:W3CDTF">2026-08-14T16:49:52Z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